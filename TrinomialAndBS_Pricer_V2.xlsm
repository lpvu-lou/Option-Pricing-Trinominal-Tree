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nphuongvu/Downloads/Option-Pricing-main 2/"/>
    </mc:Choice>
  </mc:AlternateContent>
  <xr:revisionPtr revIDLastSave="0" documentId="13_ncr:1_{641C5E51-6A73-4F45-8888-E4182AAAA208}" xr6:coauthVersionLast="47" xr6:coauthVersionMax="47" xr10:uidLastSave="{00000000-0000-0000-0000-000000000000}"/>
  <bookViews>
    <workbookView xWindow="0" yWindow="0" windowWidth="28800" windowHeight="18000" xr2:uid="{AA057142-A518-4CFE-988D-5C4CCF9F9FA3}"/>
  </bookViews>
  <sheets>
    <sheet name="Param" sheetId="1" r:id="rId1"/>
    <sheet name="Listes" sheetId="16" r:id="rId2"/>
    <sheet name="Arbre Stock" sheetId="7" r:id="rId3"/>
    <sheet name="Arbre Option" sheetId="23" r:id="rId4"/>
    <sheet name="Arbre Proba" sheetId="19" r:id="rId5"/>
    <sheet name="Exercice Frontier" sheetId="26" r:id="rId6"/>
    <sheet name="Test Convergence" sheetId="25" r:id="rId7"/>
    <sheet name="Test Vitesse" sheetId="15" r:id="rId8"/>
    <sheet name="Greeks" sheetId="28" r:id="rId9"/>
    <sheet name="Histo" sheetId="20" r:id="rId10"/>
  </sheets>
  <functionGroups builtInGroupCount="19"/>
  <definedNames>
    <definedName name="AffichageOption">Param!$K$5</definedName>
    <definedName name="AffichageReach">Param!$K$6</definedName>
    <definedName name="AffichageStock">Param!$K$4</definedName>
    <definedName name="Alpha">Param!$H$7</definedName>
    <definedName name="Call_Put">Param!$E$6</definedName>
    <definedName name="date_pricing">Param!$H$4</definedName>
    <definedName name="Delta_t">Param!$H$6</definedName>
    <definedName name="Dividende">Param!$B$7</definedName>
    <definedName name="ExDivDate_Dividende">Param!$B$10</definedName>
    <definedName name="Exercice">Param!$E$7</definedName>
    <definedName name="Lambda">Param!$B$9</definedName>
    <definedName name="Langage">Param!$B$18</definedName>
    <definedName name="Maturity">Param!$E$5</definedName>
    <definedName name="Methode_Pricing">Param!$B$17</definedName>
    <definedName name="N">Param!$H$5</definedName>
    <definedName name="Param_TestVitesse">Param!$H$21</definedName>
    <definedName name="Prix_BS">Param!$F$18</definedName>
    <definedName name="Prix_Tree">Param!$E$18</definedName>
    <definedName name="Pruning">Param!$N$4</definedName>
    <definedName name="Rho">Param!$B$8</definedName>
    <definedName name="SeuilPruning">Param!$N$5</definedName>
    <definedName name="Spot">Param!$B$4</definedName>
    <definedName name="Strike">Param!$E$4</definedName>
    <definedName name="Taux">Param!$B$6</definedName>
    <definedName name="Time_BS">Param!$F$19</definedName>
    <definedName name="Time_Tree">Param!$E$19</definedName>
    <definedName name="Vol">Param!$B$5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7" i="1" s="1"/>
</calcChain>
</file>

<file path=xl/sharedStrings.xml><?xml version="1.0" encoding="utf-8"?>
<sst xmlns="http://schemas.openxmlformats.org/spreadsheetml/2006/main" count="103" uniqueCount="81">
  <si>
    <t>Maturité</t>
  </si>
  <si>
    <t>Alpha</t>
  </si>
  <si>
    <t>Spot</t>
  </si>
  <si>
    <t>Volatilité</t>
  </si>
  <si>
    <t>Taux</t>
  </si>
  <si>
    <t>Date Dividende</t>
  </si>
  <si>
    <t>Call/Put</t>
  </si>
  <si>
    <t>Exercice</t>
  </si>
  <si>
    <t>Nombre de pas</t>
  </si>
  <si>
    <t>Δt</t>
  </si>
  <si>
    <t>Pruning</t>
  </si>
  <si>
    <t>Seuil</t>
  </si>
  <si>
    <t>Date de pricing</t>
  </si>
  <si>
    <t>Oui</t>
  </si>
  <si>
    <t>Non</t>
  </si>
  <si>
    <t>Prix d'Exercice</t>
  </si>
  <si>
    <t>N</t>
  </si>
  <si>
    <t>Call</t>
  </si>
  <si>
    <t>Prix Tree</t>
  </si>
  <si>
    <t>Python</t>
  </si>
  <si>
    <t>Backward</t>
  </si>
  <si>
    <t>Méthode de pricing</t>
  </si>
  <si>
    <t>Récursive</t>
  </si>
  <si>
    <t>Langage de programmation</t>
  </si>
  <si>
    <t>VBA</t>
  </si>
  <si>
    <t>US</t>
  </si>
  <si>
    <t>Put</t>
  </si>
  <si>
    <t>EU</t>
  </si>
  <si>
    <t>Oui/Non</t>
  </si>
  <si>
    <t>Arbre Stock Price</t>
  </si>
  <si>
    <t>Arbre Option Price</t>
  </si>
  <si>
    <t>Arbre Probabilités</t>
  </si>
  <si>
    <t>MARKET</t>
  </si>
  <si>
    <t>OPTION</t>
  </si>
  <si>
    <t>ARBRE</t>
  </si>
  <si>
    <t>AFFICHAGE</t>
  </si>
  <si>
    <t>OPTIMISATION</t>
  </si>
  <si>
    <t>ARBRE TRINOMINAL OPTION PRICING</t>
  </si>
  <si>
    <t>Méthode</t>
  </si>
  <si>
    <t>Langage</t>
  </si>
  <si>
    <t>Prix d'option</t>
  </si>
  <si>
    <t>Temps du calcul</t>
  </si>
  <si>
    <t>Arbre</t>
  </si>
  <si>
    <t>Black - Schole</t>
  </si>
  <si>
    <t>Taux div (rho)</t>
  </si>
  <si>
    <t>Taux croissance de div (lambda)</t>
  </si>
  <si>
    <t>PYTHON</t>
  </si>
  <si>
    <t>Prix BS</t>
  </si>
  <si>
    <t>(Tree - BS) × NbSteps</t>
  </si>
  <si>
    <t>TEST VITESSE : AVEC / SANS PRUNING &amp; VBA / PYTHON &amp; RECURSIF / BACKWARD</t>
  </si>
  <si>
    <t>AVEC PRUNING</t>
  </si>
  <si>
    <t>SANS PRUNING</t>
  </si>
  <si>
    <t>RESULTAT</t>
  </si>
  <si>
    <t>METHODE DE PRICING</t>
  </si>
  <si>
    <t>Python Rec</t>
  </si>
  <si>
    <t>VBA Rec</t>
  </si>
  <si>
    <t>Python Backward</t>
  </si>
  <si>
    <t>VBA Backward</t>
  </si>
  <si>
    <t>Stock Price Tree</t>
  </si>
  <si>
    <t>Option Value Tree</t>
  </si>
  <si>
    <t>Reach Probability Tree</t>
  </si>
  <si>
    <t>TEST CONVERGENCE : PYTHON vs VBA</t>
  </si>
  <si>
    <t>FRONTIERE D'EXERCICE</t>
  </si>
  <si>
    <t>Delta</t>
  </si>
  <si>
    <t>Gamma</t>
  </si>
  <si>
    <t>Vega</t>
  </si>
  <si>
    <t>Vomma</t>
  </si>
  <si>
    <t>Vanna</t>
  </si>
  <si>
    <t>Theta</t>
  </si>
  <si>
    <t>Rho</t>
  </si>
  <si>
    <t>Black - Scholes</t>
  </si>
  <si>
    <t xml:space="preserve">Python </t>
  </si>
  <si>
    <t xml:space="preserve">Arbre Trinominal </t>
  </si>
  <si>
    <t>Python Back</t>
  </si>
  <si>
    <t>VBA Back</t>
  </si>
  <si>
    <t>Gap BS: VBA vs Python</t>
  </si>
  <si>
    <t xml:space="preserve">Gap Recursive : VBA vs Python </t>
  </si>
  <si>
    <t>LES GRECS</t>
  </si>
  <si>
    <t xml:space="preserve">Gap Backward : VBA vs Python </t>
  </si>
  <si>
    <t>Price</t>
  </si>
  <si>
    <t>Dividende (discret)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</si>
</sst>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)_ ;_ * \(#,##0.00\)_ ;_ * &quot;-&quot;??_)_ ;_ @_ "/>
    <numFmt numFmtId="164" formatCode="0.0000"/>
    <numFmt numFmtId="165" formatCode="0.0000&quot; s&quot;"/>
    <numFmt numFmtId="166" formatCode="0.000000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24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8"/>
      <color theme="0"/>
      <name val="Aptos Narrow"/>
      <scheme val="minor"/>
    </font>
    <font>
      <b/>
      <sz val="14"/>
      <color theme="1"/>
      <name val="Aptos Narrow"/>
      <scheme val="minor"/>
    </font>
    <font>
      <b/>
      <sz val="24"/>
      <color rgb="FF000000"/>
      <name val="Aptos Narrow"/>
    </font>
    <font>
      <sz val="11"/>
      <color theme="1"/>
      <name val="Aptos Narrow"/>
      <family val="2"/>
      <scheme val="minor"/>
    </font>
    <font>
      <b/>
      <sz val="11"/>
      <color theme="0"/>
      <name val="Aptos Narrow"/>
      <scheme val="minor"/>
    </font>
    <font>
      <sz val="11"/>
      <color rgb="FFFFFFFF"/>
      <name val="Aptos Narrow"/>
      <family val="2"/>
      <scheme val="minor"/>
    </font>
    <font>
      <b/>
      <sz val="14"/>
      <color theme="0"/>
      <name val="Aptos Narrow"/>
      <scheme val="minor"/>
    </font>
    <font>
      <sz val="14"/>
      <color theme="0"/>
      <name val="Aptos Narrow"/>
      <family val="2"/>
      <scheme val="minor"/>
    </font>
    <font>
      <b/>
      <sz val="14"/>
      <color theme="1"/>
      <name val="Aptos Narrow (Corps)"/>
    </font>
    <font>
      <sz val="13"/>
      <color theme="1"/>
      <name val="Aptos Narrow"/>
      <scheme val="minor"/>
    </font>
    <font>
      <b/>
      <sz val="13"/>
      <color theme="1"/>
      <name val="Aptos Narrow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4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0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95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20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4" fillId="0" borderId="3" xfId="0" applyFont="1" applyBorder="1"/>
    <xf numFmtId="0" fontId="4" fillId="0" borderId="4" xfId="0" applyFont="1" applyBorder="1"/>
    <xf numFmtId="0" fontId="10" fillId="0" borderId="8" xfId="0" applyFont="1" applyBorder="1"/>
    <xf numFmtId="0" fontId="5" fillId="0" borderId="9" xfId="0" applyFont="1" applyBorder="1" applyAlignment="1">
      <alignment horizontal="right"/>
    </xf>
    <xf numFmtId="0" fontId="10" fillId="0" borderId="10" xfId="0" applyFont="1" applyBorder="1"/>
    <xf numFmtId="0" fontId="5" fillId="0" borderId="11" xfId="0" applyFont="1" applyBorder="1" applyAlignment="1">
      <alignment horizontal="right"/>
    </xf>
    <xf numFmtId="0" fontId="5" fillId="0" borderId="15" xfId="0" applyFont="1" applyBorder="1"/>
    <xf numFmtId="0" fontId="5" fillId="0" borderId="16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164" fontId="5" fillId="0" borderId="16" xfId="0" applyNumberFormat="1" applyFont="1" applyBorder="1" applyAlignment="1">
      <alignment horizontal="right"/>
    </xf>
    <xf numFmtId="14" fontId="5" fillId="0" borderId="17" xfId="0" applyNumberFormat="1" applyFont="1" applyBorder="1"/>
    <xf numFmtId="0" fontId="5" fillId="0" borderId="16" xfId="0" applyFont="1" applyBorder="1" applyAlignment="1">
      <alignment horizontal="right"/>
    </xf>
    <xf numFmtId="14" fontId="5" fillId="0" borderId="16" xfId="0" applyNumberFormat="1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14" fontId="5" fillId="0" borderId="16" xfId="0" applyNumberFormat="1" applyFont="1" applyBorder="1"/>
    <xf numFmtId="0" fontId="5" fillId="0" borderId="17" xfId="0" applyFont="1" applyBorder="1"/>
    <xf numFmtId="11" fontId="5" fillId="0" borderId="17" xfId="0" applyNumberFormat="1" applyFont="1" applyBorder="1"/>
    <xf numFmtId="164" fontId="5" fillId="0" borderId="1" xfId="0" applyNumberFormat="1" applyFont="1" applyBorder="1" applyAlignment="1">
      <alignment horizontal="right"/>
    </xf>
    <xf numFmtId="166" fontId="5" fillId="0" borderId="2" xfId="0" applyNumberFormat="1" applyFont="1" applyBorder="1" applyAlignment="1">
      <alignment horizontal="right"/>
    </xf>
    <xf numFmtId="166" fontId="5" fillId="0" borderId="17" xfId="0" applyNumberFormat="1" applyFont="1" applyBorder="1" applyAlignment="1">
      <alignment horizontal="right"/>
    </xf>
    <xf numFmtId="14" fontId="5" fillId="0" borderId="0" xfId="0" applyNumberFormat="1" applyFont="1"/>
    <xf numFmtId="0" fontId="10" fillId="0" borderId="21" xfId="0" applyFont="1" applyBorder="1"/>
    <xf numFmtId="10" fontId="5" fillId="0" borderId="16" xfId="1" applyNumberFormat="1" applyFont="1" applyBorder="1"/>
    <xf numFmtId="10" fontId="5" fillId="0" borderId="16" xfId="0" applyNumberFormat="1" applyFont="1" applyBorder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 applyAlignment="1">
      <alignment horizontal="right"/>
    </xf>
    <xf numFmtId="2" fontId="5" fillId="0" borderId="0" xfId="0" applyNumberFormat="1" applyFont="1"/>
    <xf numFmtId="2" fontId="5" fillId="0" borderId="16" xfId="2" applyNumberFormat="1" applyFont="1" applyBorder="1"/>
    <xf numFmtId="2" fontId="5" fillId="0" borderId="16" xfId="0" applyNumberFormat="1" applyFont="1" applyBorder="1" applyAlignment="1">
      <alignment horizontal="right"/>
    </xf>
    <xf numFmtId="0" fontId="16" fillId="4" borderId="27" xfId="0" applyFont="1" applyFill="1" applyBorder="1" applyAlignment="1">
      <alignment horizontal="center"/>
    </xf>
    <xf numFmtId="0" fontId="18" fillId="0" borderId="31" xfId="0" applyFont="1" applyBorder="1"/>
    <xf numFmtId="0" fontId="18" fillId="0" borderId="33" xfId="0" applyFont="1" applyBorder="1"/>
    <xf numFmtId="0" fontId="0" fillId="4" borderId="29" xfId="0" applyFill="1" applyBorder="1"/>
    <xf numFmtId="0" fontId="18" fillId="4" borderId="28" xfId="0" applyFont="1" applyFill="1" applyBorder="1"/>
    <xf numFmtId="0" fontId="15" fillId="4" borderId="25" xfId="0" applyFont="1" applyFill="1" applyBorder="1" applyAlignment="1">
      <alignment horizontal="center"/>
    </xf>
    <xf numFmtId="0" fontId="15" fillId="4" borderId="27" xfId="0" applyFont="1" applyFill="1" applyBorder="1" applyAlignment="1">
      <alignment horizontal="center"/>
    </xf>
    <xf numFmtId="0" fontId="19" fillId="0" borderId="39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18" fillId="0" borderId="34" xfId="0" applyFont="1" applyBorder="1"/>
    <xf numFmtId="0" fontId="19" fillId="0" borderId="4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9" fillId="0" borderId="23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8" fillId="0" borderId="41" xfId="0" applyFont="1" applyBorder="1"/>
    <xf numFmtId="0" fontId="15" fillId="4" borderId="26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 vertical="center"/>
    </xf>
    <xf numFmtId="0" fontId="19" fillId="0" borderId="29" xfId="0" applyFont="1" applyBorder="1" applyAlignment="1">
      <alignment horizontal="right"/>
    </xf>
    <xf numFmtId="0" fontId="19" fillId="0" borderId="28" xfId="0" applyFont="1" applyBorder="1" applyAlignment="1">
      <alignment horizontal="right"/>
    </xf>
    <xf numFmtId="0" fontId="19" fillId="0" borderId="37" xfId="0" applyFont="1" applyBorder="1" applyAlignment="1">
      <alignment horizontal="right"/>
    </xf>
    <xf numFmtId="166" fontId="18" fillId="0" borderId="31" xfId="0" applyNumberFormat="1" applyFont="1" applyBorder="1"/>
    <xf numFmtId="166" fontId="18" fillId="0" borderId="34" xfId="0" applyNumberFormat="1" applyFont="1" applyBorder="1"/>
    <xf numFmtId="166" fontId="0" fillId="0" borderId="0" xfId="0" applyNumberFormat="1"/>
    <xf numFmtId="166" fontId="18" fillId="0" borderId="35" xfId="0" applyNumberFormat="1" applyFont="1" applyBorder="1"/>
    <xf numFmtId="166" fontId="18" fillId="0" borderId="30" xfId="0" applyNumberFormat="1" applyFont="1" applyBorder="1"/>
    <xf numFmtId="166" fontId="18" fillId="0" borderId="23" xfId="0" applyNumberFormat="1" applyFont="1" applyBorder="1"/>
    <xf numFmtId="166" fontId="18" fillId="0" borderId="36" xfId="0" applyNumberFormat="1" applyFont="1" applyBorder="1"/>
    <xf numFmtId="166" fontId="18" fillId="0" borderId="32" xfId="0" applyNumberFormat="1" applyFont="1" applyBorder="1"/>
    <xf numFmtId="166" fontId="18" fillId="0" borderId="24" xfId="0" applyNumberFormat="1" applyFont="1" applyBorder="1"/>
    <xf numFmtId="0" fontId="5" fillId="0" borderId="0" xfId="0" applyFont="1" applyAlignment="1">
      <alignment horizontal="right"/>
    </xf>
    <xf numFmtId="0" fontId="9" fillId="2" borderId="6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15" fillId="3" borderId="25" xfId="0" applyFont="1" applyFill="1" applyBorder="1" applyAlignment="1">
      <alignment horizontal="center"/>
    </xf>
    <xf numFmtId="0" fontId="15" fillId="3" borderId="27" xfId="0" applyFont="1" applyFill="1" applyBorder="1" applyAlignment="1">
      <alignment horizontal="center"/>
    </xf>
    <xf numFmtId="0" fontId="15" fillId="3" borderId="26" xfId="0" applyFont="1" applyFill="1" applyBorder="1" applyAlignment="1">
      <alignment horizontal="center"/>
    </xf>
    <xf numFmtId="0" fontId="15" fillId="5" borderId="25" xfId="0" applyFont="1" applyFill="1" applyBorder="1" applyAlignment="1">
      <alignment horizontal="center"/>
    </xf>
    <xf numFmtId="0" fontId="15" fillId="5" borderId="27" xfId="0" applyFont="1" applyFill="1" applyBorder="1" applyAlignment="1">
      <alignment horizontal="center"/>
    </xf>
    <xf numFmtId="0" fontId="15" fillId="5" borderId="26" xfId="0" applyFont="1" applyFill="1" applyBorder="1" applyAlignment="1">
      <alignment horizontal="center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Convergence'!$W$5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'Test Convergence'!$V$6:$V$55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Convergence'!$W$6:$W$55</c:f>
              <c:numCache>
                <c:formatCode>General</c:formatCode>
                <c:ptCount val="50"/>
                <c:pt idx="0">
                  <c:v>16.234452969350464</c:v>
                </c:pt>
                <c:pt idx="1">
                  <c:v>16.88644588169727</c:v>
                </c:pt>
                <c:pt idx="2">
                  <c:v>17.033820129937297</c:v>
                </c:pt>
                <c:pt idx="3">
                  <c:v>17.055599337602967</c:v>
                </c:pt>
                <c:pt idx="4">
                  <c:v>17.041022512000737</c:v>
                </c:pt>
                <c:pt idx="5">
                  <c:v>17.015885077459444</c:v>
                </c:pt>
                <c:pt idx="6">
                  <c:v>16.988510222671703</c:v>
                </c:pt>
                <c:pt idx="7">
                  <c:v>16.961732332592103</c:v>
                </c:pt>
                <c:pt idx="8">
                  <c:v>16.936475306153948</c:v>
                </c:pt>
                <c:pt idx="9">
                  <c:v>16.913018949152505</c:v>
                </c:pt>
                <c:pt idx="10">
                  <c:v>16.891307212021708</c:v>
                </c:pt>
                <c:pt idx="11">
                  <c:v>16.871258635102368</c:v>
                </c:pt>
                <c:pt idx="12">
                  <c:v>16.852696598765437</c:v>
                </c:pt>
                <c:pt idx="13">
                  <c:v>16.835497644433339</c:v>
                </c:pt>
                <c:pt idx="14">
                  <c:v>16.819504336096564</c:v>
                </c:pt>
                <c:pt idx="15">
                  <c:v>16.804585071584828</c:v>
                </c:pt>
                <c:pt idx="16">
                  <c:v>16.790664672517313</c:v>
                </c:pt>
                <c:pt idx="17">
                  <c:v>16.777615367267884</c:v>
                </c:pt>
                <c:pt idx="18">
                  <c:v>16.765346660032751</c:v>
                </c:pt>
                <c:pt idx="19">
                  <c:v>16.753818676077287</c:v>
                </c:pt>
                <c:pt idx="20">
                  <c:v>16.742935152691768</c:v>
                </c:pt>
                <c:pt idx="21">
                  <c:v>16.732647051605536</c:v>
                </c:pt>
                <c:pt idx="22">
                  <c:v>16.722907354259739</c:v>
                </c:pt>
                <c:pt idx="23">
                  <c:v>16.713657863451814</c:v>
                </c:pt>
                <c:pt idx="24">
                  <c:v>16.704856344931684</c:v>
                </c:pt>
                <c:pt idx="25">
                  <c:v>16.696489027586686</c:v>
                </c:pt>
                <c:pt idx="26">
                  <c:v>16.703799354223062</c:v>
                </c:pt>
                <c:pt idx="27">
                  <c:v>16.716882241575536</c:v>
                </c:pt>
                <c:pt idx="28">
                  <c:v>16.72858152717064</c:v>
                </c:pt>
                <c:pt idx="29">
                  <c:v>16.739059714925702</c:v>
                </c:pt>
                <c:pt idx="30">
                  <c:v>16.748440652390425</c:v>
                </c:pt>
                <c:pt idx="31">
                  <c:v>16.756851230933233</c:v>
                </c:pt>
                <c:pt idx="32">
                  <c:v>16.764401898225646</c:v>
                </c:pt>
                <c:pt idx="33">
                  <c:v>16.771158064665801</c:v>
                </c:pt>
                <c:pt idx="34">
                  <c:v>16.77720889442789</c:v>
                </c:pt>
                <c:pt idx="35">
                  <c:v>16.782623396209985</c:v>
                </c:pt>
                <c:pt idx="36">
                  <c:v>16.787462162526225</c:v>
                </c:pt>
                <c:pt idx="37">
                  <c:v>16.791800777092337</c:v>
                </c:pt>
                <c:pt idx="38">
                  <c:v>16.795667664150418</c:v>
                </c:pt>
                <c:pt idx="39">
                  <c:v>16.799115403276748</c:v>
                </c:pt>
                <c:pt idx="40">
                  <c:v>16.802162167796329</c:v>
                </c:pt>
                <c:pt idx="41">
                  <c:v>16.804870584143188</c:v>
                </c:pt>
                <c:pt idx="42">
                  <c:v>16.807255074952735</c:v>
                </c:pt>
                <c:pt idx="43">
                  <c:v>16.809343531811539</c:v>
                </c:pt>
                <c:pt idx="44">
                  <c:v>16.811160772500482</c:v>
                </c:pt>
                <c:pt idx="45">
                  <c:v>16.812728967432946</c:v>
                </c:pt>
                <c:pt idx="46">
                  <c:v>16.814086036671984</c:v>
                </c:pt>
                <c:pt idx="47">
                  <c:v>16.815233651100776</c:v>
                </c:pt>
                <c:pt idx="48">
                  <c:v>16.816196968286192</c:v>
                </c:pt>
                <c:pt idx="49">
                  <c:v>16.816973958856725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6-BF44-B1AE-720AA6E8F524}"/>
            </c:ext>
          </c:extLst>
        </c:ser>
        <c:ser>
          <c:idx val="1"/>
          <c:order val="1"/>
          <c:tx>
            <c:strRef>
              <c:f>'Test Convergence'!$X$5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'Test Convergence'!$V$6:$V$55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Convergence'!$X$6:$X$55</c:f>
              <c:numCache>
                <c:formatCode>General</c:formatCode>
                <c:ptCount val="50"/>
                <c:pt idx="0">
                  <c:v>16.795797420674354</c:v>
                </c:pt>
                <c:pt idx="1">
                  <c:v>16.795797420674354</c:v>
                </c:pt>
                <c:pt idx="2">
                  <c:v>16.795797420674354</c:v>
                </c:pt>
                <c:pt idx="3">
                  <c:v>16.795797420674354</c:v>
                </c:pt>
                <c:pt idx="4">
                  <c:v>16.795797420674354</c:v>
                </c:pt>
                <c:pt idx="5">
                  <c:v>16.795797420674354</c:v>
                </c:pt>
                <c:pt idx="6">
                  <c:v>16.795797420674354</c:v>
                </c:pt>
                <c:pt idx="7">
                  <c:v>16.795797420674354</c:v>
                </c:pt>
                <c:pt idx="8">
                  <c:v>16.795797420674354</c:v>
                </c:pt>
                <c:pt idx="9">
                  <c:v>16.795797420674354</c:v>
                </c:pt>
                <c:pt idx="10">
                  <c:v>16.795797420674354</c:v>
                </c:pt>
                <c:pt idx="11">
                  <c:v>16.795797420674354</c:v>
                </c:pt>
                <c:pt idx="12">
                  <c:v>16.795797420674354</c:v>
                </c:pt>
                <c:pt idx="13">
                  <c:v>16.795797420674354</c:v>
                </c:pt>
                <c:pt idx="14">
                  <c:v>16.795797420674354</c:v>
                </c:pt>
                <c:pt idx="15">
                  <c:v>16.795797420674354</c:v>
                </c:pt>
                <c:pt idx="16">
                  <c:v>16.795797420674354</c:v>
                </c:pt>
                <c:pt idx="17">
                  <c:v>16.795797420674354</c:v>
                </c:pt>
                <c:pt idx="18">
                  <c:v>16.795797420674354</c:v>
                </c:pt>
                <c:pt idx="19">
                  <c:v>16.795797420674354</c:v>
                </c:pt>
                <c:pt idx="20">
                  <c:v>16.795797420674354</c:v>
                </c:pt>
                <c:pt idx="21">
                  <c:v>16.795797420674354</c:v>
                </c:pt>
                <c:pt idx="22">
                  <c:v>16.795797420674354</c:v>
                </c:pt>
                <c:pt idx="23">
                  <c:v>16.795797420674354</c:v>
                </c:pt>
                <c:pt idx="24">
                  <c:v>16.795797420674354</c:v>
                </c:pt>
                <c:pt idx="25">
                  <c:v>16.795797420674354</c:v>
                </c:pt>
                <c:pt idx="26">
                  <c:v>16.795797420674354</c:v>
                </c:pt>
                <c:pt idx="27">
                  <c:v>16.795797420674354</c:v>
                </c:pt>
                <c:pt idx="28">
                  <c:v>16.795797420674354</c:v>
                </c:pt>
                <c:pt idx="29">
                  <c:v>16.795797420674354</c:v>
                </c:pt>
                <c:pt idx="30">
                  <c:v>16.795797420674354</c:v>
                </c:pt>
                <c:pt idx="31">
                  <c:v>16.795797420674354</c:v>
                </c:pt>
                <c:pt idx="32">
                  <c:v>16.795797420674354</c:v>
                </c:pt>
                <c:pt idx="33">
                  <c:v>16.795797420674354</c:v>
                </c:pt>
                <c:pt idx="34">
                  <c:v>16.795797420674354</c:v>
                </c:pt>
                <c:pt idx="35">
                  <c:v>16.795797420674354</c:v>
                </c:pt>
                <c:pt idx="36">
                  <c:v>16.795797420674354</c:v>
                </c:pt>
                <c:pt idx="37">
                  <c:v>16.795797420674354</c:v>
                </c:pt>
                <c:pt idx="38">
                  <c:v>16.795797420674354</c:v>
                </c:pt>
                <c:pt idx="39">
                  <c:v>16.795797420674354</c:v>
                </c:pt>
                <c:pt idx="40">
                  <c:v>16.795797420674354</c:v>
                </c:pt>
                <c:pt idx="41">
                  <c:v>16.795797420674354</c:v>
                </c:pt>
                <c:pt idx="42">
                  <c:v>16.795797420674354</c:v>
                </c:pt>
                <c:pt idx="43">
                  <c:v>16.795797420674354</c:v>
                </c:pt>
                <c:pt idx="44">
                  <c:v>16.795797420674354</c:v>
                </c:pt>
                <c:pt idx="45">
                  <c:v>16.795797420674354</c:v>
                </c:pt>
                <c:pt idx="46">
                  <c:v>16.795797420674354</c:v>
                </c:pt>
                <c:pt idx="47">
                  <c:v>16.795797420674354</c:v>
                </c:pt>
                <c:pt idx="48">
                  <c:v>16.795797420674354</c:v>
                </c:pt>
                <c:pt idx="49">
                  <c:v>16.795797420674354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86-BF44-B1AE-720AA6E8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821183"/>
        <c:axId val="2098090688"/>
      </c:scatterChart>
      <c:valAx>
        <c:axId val="149882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8090688"/>
        <c:crosses val="autoZero"/>
        <c:crossBetween val="midCat"/>
      </c:valAx>
      <c:valAx>
        <c:axId val="209809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8211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Convergence'!$AB$5</c:f>
              <c:strCache>
                <c:ptCount val="1"/>
                <c:pt idx="0">
                  <c:v>(Tree - BS) × NbSteps</c:v>
                </c:pt>
              </c:strCache>
            </c:strRef>
          </c:tx>
          <c:marker>
            <c:symbol val="none"/>
          </c:marker>
          <c:xVal>
            <c:numRef>
              <c:f>'Test Convergence'!$AA$6:$AA$55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Convergence'!$AB$6:$AB$55</c:f>
              <c:numCache>
                <c:formatCode>General</c:formatCode>
                <c:ptCount val="50"/>
                <c:pt idx="0">
                  <c:v>-0.56134445132389033</c:v>
                </c:pt>
                <c:pt idx="1">
                  <c:v>0.18129692204583137</c:v>
                </c:pt>
                <c:pt idx="2">
                  <c:v>0.71406812778882767</c:v>
                </c:pt>
                <c:pt idx="3">
                  <c:v>1.0392076677144502</c:v>
                </c:pt>
                <c:pt idx="4">
                  <c:v>1.2261254566319124</c:v>
                </c:pt>
                <c:pt idx="5">
                  <c:v>1.3205259407105387</c:v>
                </c:pt>
                <c:pt idx="6">
                  <c:v>1.3489896139814412</c:v>
                </c:pt>
                <c:pt idx="7">
                  <c:v>1.3274792953419876</c:v>
                </c:pt>
                <c:pt idx="8">
                  <c:v>1.2661009693163443</c:v>
                </c:pt>
                <c:pt idx="9">
                  <c:v>1.1722152847815082</c:v>
                </c:pt>
                <c:pt idx="10">
                  <c:v>1.0506077048208908</c:v>
                </c:pt>
                <c:pt idx="11">
                  <c:v>0.90553457313616548</c:v>
                </c:pt>
                <c:pt idx="12">
                  <c:v>0.73968931518407643</c:v>
                </c:pt>
                <c:pt idx="13">
                  <c:v>0.55580313262578329</c:v>
                </c:pt>
                <c:pt idx="14">
                  <c:v>0.35560373133314727</c:v>
                </c:pt>
                <c:pt idx="15">
                  <c:v>0.14060241456758149</c:v>
                </c:pt>
                <c:pt idx="16">
                  <c:v>-8.7256718669710409E-2</c:v>
                </c:pt>
                <c:pt idx="17">
                  <c:v>-0.327276961316457</c:v>
                </c:pt>
                <c:pt idx="18">
                  <c:v>-0.57856445219045938</c:v>
                </c:pt>
                <c:pt idx="19">
                  <c:v>-0.83957489194133927</c:v>
                </c:pt>
                <c:pt idx="20">
                  <c:v>-1.1101076276343171</c:v>
                </c:pt>
                <c:pt idx="21">
                  <c:v>-1.3893081195140056</c:v>
                </c:pt>
                <c:pt idx="22">
                  <c:v>-1.676471527536151</c:v>
                </c:pt>
                <c:pt idx="23">
                  <c:v>-1.9713493733409564</c:v>
                </c:pt>
                <c:pt idx="24">
                  <c:v>-2.2735268935667463</c:v>
                </c:pt>
                <c:pt idx="25">
                  <c:v>-2.582018220279366</c:v>
                </c:pt>
                <c:pt idx="26">
                  <c:v>-2.4839477941849033</c:v>
                </c:pt>
                <c:pt idx="27">
                  <c:v>-2.2096250147668997</c:v>
                </c:pt>
                <c:pt idx="28">
                  <c:v>-1.9492609116077233</c:v>
                </c:pt>
                <c:pt idx="29">
                  <c:v>-1.7021311724595733</c:v>
                </c:pt>
                <c:pt idx="30">
                  <c:v>-1.4680598168018157</c:v>
                </c:pt>
                <c:pt idx="31">
                  <c:v>-1.2462780717158921</c:v>
                </c:pt>
                <c:pt idx="32">
                  <c:v>-1.0360522408073685</c:v>
                </c:pt>
                <c:pt idx="33">
                  <c:v>-0.83773810429079987</c:v>
                </c:pt>
                <c:pt idx="34">
                  <c:v>-0.65059841862625589</c:v>
                </c:pt>
                <c:pt idx="35">
                  <c:v>-0.47426488071729977</c:v>
                </c:pt>
                <c:pt idx="36">
                  <c:v>-0.30840455148078405</c:v>
                </c:pt>
                <c:pt idx="37">
                  <c:v>-0.15187245611664224</c:v>
                </c:pt>
                <c:pt idx="38">
                  <c:v>-5.0605044335121363E-3</c:v>
                </c:pt>
                <c:pt idx="39">
                  <c:v>0.13271930409572974</c:v>
                </c:pt>
                <c:pt idx="40">
                  <c:v>0.26095463200095637</c:v>
                </c:pt>
                <c:pt idx="41">
                  <c:v>0.38107286569102428</c:v>
                </c:pt>
                <c:pt idx="42">
                  <c:v>0.49267913397037688</c:v>
                </c:pt>
                <c:pt idx="43">
                  <c:v>0.59602889003612347</c:v>
                </c:pt>
                <c:pt idx="44">
                  <c:v>0.6913508321757611</c:v>
                </c:pt>
                <c:pt idx="45">
                  <c:v>0.77885115089522117</c:v>
                </c:pt>
                <c:pt idx="46">
                  <c:v>0.85956495188860416</c:v>
                </c:pt>
                <c:pt idx="47">
                  <c:v>0.93293906046824304</c:v>
                </c:pt>
                <c:pt idx="48">
                  <c:v>0.99957783298005864</c:v>
                </c:pt>
                <c:pt idx="49">
                  <c:v>1.0588269091185154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D-8343-AEE1-1EC1575D0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821183"/>
        <c:axId val="1499713791"/>
      </c:scatterChart>
      <c:valAx>
        <c:axId val="1498821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9713791"/>
        <c:crosses val="autoZero"/>
        <c:crossBetween val="midCat"/>
      </c:valAx>
      <c:valAx>
        <c:axId val="1499713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8211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Vitesse'!$C$5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Vitesse'!$B$6:$B$55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Vitesse'!$C$6:$C$55</c:f>
              <c:numCache>
                <c:formatCode>General</c:formatCode>
                <c:ptCount val="50"/>
                <c:pt idx="0">
                  <c:v>6.29425048828125E-5</c:v>
                </c:pt>
                <c:pt idx="1">
                  <c:v>3.5309791564941406E-4</c:v>
                </c:pt>
                <c:pt idx="2">
                  <c:v>5.8412551879882812E-4</c:v>
                </c:pt>
                <c:pt idx="3">
                  <c:v>5.0401687622070312E-4</c:v>
                </c:pt>
                <c:pt idx="4">
                  <c:v>7.6699256896972656E-4</c:v>
                </c:pt>
                <c:pt idx="5">
                  <c:v>1.2001991271972656E-3</c:v>
                </c:pt>
                <c:pt idx="6">
                  <c:v>1.190185546875E-3</c:v>
                </c:pt>
                <c:pt idx="7">
                  <c:v>1.6450881958007812E-3</c:v>
                </c:pt>
                <c:pt idx="8">
                  <c:v>1.9898414611816406E-3</c:v>
                </c:pt>
                <c:pt idx="9">
                  <c:v>2.452850341796875E-3</c:v>
                </c:pt>
                <c:pt idx="10">
                  <c:v>2.8312206268310547E-3</c:v>
                </c:pt>
                <c:pt idx="11">
                  <c:v>3.2200813293457031E-3</c:v>
                </c:pt>
                <c:pt idx="12">
                  <c:v>3.1881332397460938E-3</c:v>
                </c:pt>
                <c:pt idx="13">
                  <c:v>3.7417411804199219E-3</c:v>
                </c:pt>
                <c:pt idx="14">
                  <c:v>4.1639804840087891E-3</c:v>
                </c:pt>
                <c:pt idx="15">
                  <c:v>4.1811466217041016E-3</c:v>
                </c:pt>
                <c:pt idx="16">
                  <c:v>4.2879581451416016E-3</c:v>
                </c:pt>
                <c:pt idx="17">
                  <c:v>5.2187442779541016E-3</c:v>
                </c:pt>
                <c:pt idx="18">
                  <c:v>4.8019886016845703E-3</c:v>
                </c:pt>
                <c:pt idx="19">
                  <c:v>5.1448345184326172E-3</c:v>
                </c:pt>
                <c:pt idx="20">
                  <c:v>5.39398193359375E-3</c:v>
                </c:pt>
                <c:pt idx="21">
                  <c:v>5.4552555084228516E-3</c:v>
                </c:pt>
                <c:pt idx="22">
                  <c:v>5.2511692047119141E-3</c:v>
                </c:pt>
                <c:pt idx="23">
                  <c:v>5.4490566253662109E-3</c:v>
                </c:pt>
                <c:pt idx="24">
                  <c:v>5.5401325225830078E-3</c:v>
                </c:pt>
                <c:pt idx="25">
                  <c:v>5.6118965148925781E-3</c:v>
                </c:pt>
                <c:pt idx="26">
                  <c:v>5.6750774383544922E-3</c:v>
                </c:pt>
                <c:pt idx="27">
                  <c:v>6.0970783233642578E-3</c:v>
                </c:pt>
                <c:pt idx="28">
                  <c:v>6.58416748046875E-3</c:v>
                </c:pt>
                <c:pt idx="29">
                  <c:v>7.0662498474121094E-3</c:v>
                </c:pt>
                <c:pt idx="30">
                  <c:v>7.1959495544433594E-3</c:v>
                </c:pt>
                <c:pt idx="31">
                  <c:v>7.5252056121826172E-3</c:v>
                </c:pt>
                <c:pt idx="32">
                  <c:v>8.2218647003173828E-3</c:v>
                </c:pt>
                <c:pt idx="33">
                  <c:v>8.70513916015625E-3</c:v>
                </c:pt>
                <c:pt idx="34">
                  <c:v>9.0429782867431641E-3</c:v>
                </c:pt>
                <c:pt idx="35">
                  <c:v>9.5157623291015625E-3</c:v>
                </c:pt>
                <c:pt idx="36">
                  <c:v>9.8750591278076172E-3</c:v>
                </c:pt>
                <c:pt idx="37">
                  <c:v>1.0314702987670898E-2</c:v>
                </c:pt>
                <c:pt idx="38">
                  <c:v>1.0768890380859375E-2</c:v>
                </c:pt>
                <c:pt idx="39">
                  <c:v>1.1169195175170898E-2</c:v>
                </c:pt>
                <c:pt idx="40">
                  <c:v>1.1663198471069336E-2</c:v>
                </c:pt>
                <c:pt idx="41">
                  <c:v>1.2264013290405273E-2</c:v>
                </c:pt>
                <c:pt idx="42">
                  <c:v>1.2447118759155273E-2</c:v>
                </c:pt>
                <c:pt idx="43">
                  <c:v>1.3459920883178711E-2</c:v>
                </c:pt>
                <c:pt idx="44">
                  <c:v>1.2810230255126953E-2</c:v>
                </c:pt>
                <c:pt idx="45">
                  <c:v>1.4284133911132812E-2</c:v>
                </c:pt>
                <c:pt idx="46">
                  <c:v>1.481175422668457E-2</c:v>
                </c:pt>
                <c:pt idx="47">
                  <c:v>1.5388965606689453E-2</c:v>
                </c:pt>
                <c:pt idx="48">
                  <c:v>1.601099967956543E-2</c:v>
                </c:pt>
                <c:pt idx="49">
                  <c:v>1.6682863235473633E-2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8B-3941-9E5F-EDF70CF71E5A}"/>
            </c:ext>
          </c:extLst>
        </c:ser>
        <c:ser>
          <c:idx val="1"/>
          <c:order val="1"/>
          <c:tx>
            <c:strRef>
              <c:f>'Test Vitesse'!$D$5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Vitesse'!$B$6:$B$55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Vitesse'!$D$6:$D$55</c:f>
              <c:numCache>
                <c:formatCode>General</c:formatCode>
                <c:ptCount val="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8B-3941-9E5F-EDF70CF71E5A}"/>
            </c:ext>
          </c:extLst>
        </c:ser>
        <c:ser>
          <c:idx val="2"/>
          <c:order val="2"/>
          <c:tx>
            <c:strRef>
              <c:f>'Test Vitesse'!$E$5</c:f>
              <c:strCache>
                <c:ptCount val="1"/>
                <c:pt idx="0">
                  <c:v>Python Backward</c:v>
                </c:pt>
              </c:strCache>
            </c:strRef>
          </c:tx>
          <c:marker>
            <c:symbol val="none"/>
          </c:marker>
          <c:xVal>
            <c:numRef>
              <c:f>'Test Vitesse'!$B$6:$B$55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Vitesse'!$E$6:$E$55</c:f>
              <c:numCache>
                <c:formatCode>General</c:formatCode>
                <c:ptCount val="50"/>
                <c:pt idx="0">
                  <c:v>2.4199485778808594E-4</c:v>
                </c:pt>
                <c:pt idx="1">
                  <c:v>5.2142143249511719E-4</c:v>
                </c:pt>
                <c:pt idx="2">
                  <c:v>9.04083251953125E-4</c:v>
                </c:pt>
                <c:pt idx="3">
                  <c:v>6.6995620727539062E-4</c:v>
                </c:pt>
                <c:pt idx="4">
                  <c:v>8.5282325744628906E-4</c:v>
                </c:pt>
                <c:pt idx="5">
                  <c:v>1.5332698822021484E-3</c:v>
                </c:pt>
                <c:pt idx="6">
                  <c:v>1.2688636779785156E-3</c:v>
                </c:pt>
                <c:pt idx="7">
                  <c:v>1.5187263488769531E-3</c:v>
                </c:pt>
                <c:pt idx="8">
                  <c:v>2.2630691528320312E-3</c:v>
                </c:pt>
                <c:pt idx="9">
                  <c:v>2.4073123931884766E-3</c:v>
                </c:pt>
                <c:pt idx="10">
                  <c:v>2.6366710662841797E-3</c:v>
                </c:pt>
                <c:pt idx="11">
                  <c:v>3.6902427673339844E-3</c:v>
                </c:pt>
                <c:pt idx="12">
                  <c:v>3.8778781890869141E-3</c:v>
                </c:pt>
                <c:pt idx="13">
                  <c:v>3.5080909729003906E-3</c:v>
                </c:pt>
                <c:pt idx="14">
                  <c:v>4.0268898010253906E-3</c:v>
                </c:pt>
                <c:pt idx="15">
                  <c:v>4.3389797210693359E-3</c:v>
                </c:pt>
                <c:pt idx="16">
                  <c:v>4.7039985656738281E-3</c:v>
                </c:pt>
                <c:pt idx="17">
                  <c:v>4.6026706695556641E-3</c:v>
                </c:pt>
                <c:pt idx="18">
                  <c:v>5.0759315490722656E-3</c:v>
                </c:pt>
                <c:pt idx="19">
                  <c:v>4.7979354858398438E-3</c:v>
                </c:pt>
                <c:pt idx="20">
                  <c:v>5.2390098571777344E-3</c:v>
                </c:pt>
                <c:pt idx="21">
                  <c:v>5.3150653839111328E-3</c:v>
                </c:pt>
                <c:pt idx="22">
                  <c:v>5.1670074462890625E-3</c:v>
                </c:pt>
                <c:pt idx="23">
                  <c:v>5.2111148834228516E-3</c:v>
                </c:pt>
                <c:pt idx="24">
                  <c:v>5.6140422821044922E-3</c:v>
                </c:pt>
                <c:pt idx="25">
                  <c:v>5.5339336395263672E-3</c:v>
                </c:pt>
                <c:pt idx="26">
                  <c:v>5.4159164428710938E-3</c:v>
                </c:pt>
                <c:pt idx="27">
                  <c:v>5.970001220703125E-3</c:v>
                </c:pt>
                <c:pt idx="28">
                  <c:v>6.5090656280517578E-3</c:v>
                </c:pt>
                <c:pt idx="29">
                  <c:v>7.0307254791259766E-3</c:v>
                </c:pt>
                <c:pt idx="30">
                  <c:v>7.0602893829345703E-3</c:v>
                </c:pt>
                <c:pt idx="31">
                  <c:v>7.7450275421142578E-3</c:v>
                </c:pt>
                <c:pt idx="32">
                  <c:v>8.3069801330566406E-3</c:v>
                </c:pt>
                <c:pt idx="33">
                  <c:v>8.7618827819824219E-3</c:v>
                </c:pt>
                <c:pt idx="34">
                  <c:v>9.2799663543701172E-3</c:v>
                </c:pt>
                <c:pt idx="35">
                  <c:v>9.6912384033203125E-3</c:v>
                </c:pt>
                <c:pt idx="36">
                  <c:v>9.8750591278076172E-3</c:v>
                </c:pt>
                <c:pt idx="37">
                  <c:v>1.0404109954833984E-2</c:v>
                </c:pt>
                <c:pt idx="38">
                  <c:v>1.1415004730224609E-2</c:v>
                </c:pt>
                <c:pt idx="39">
                  <c:v>1.1534214019775391E-2</c:v>
                </c:pt>
                <c:pt idx="40">
                  <c:v>1.2044906616210938E-2</c:v>
                </c:pt>
                <c:pt idx="41">
                  <c:v>1.2930154800415039E-2</c:v>
                </c:pt>
                <c:pt idx="42">
                  <c:v>1.2639045715332031E-2</c:v>
                </c:pt>
                <c:pt idx="43">
                  <c:v>1.3853073120117188E-2</c:v>
                </c:pt>
                <c:pt idx="44">
                  <c:v>3.4592866897583008E-2</c:v>
                </c:pt>
                <c:pt idx="45">
                  <c:v>1.4827966690063477E-2</c:v>
                </c:pt>
                <c:pt idx="46">
                  <c:v>1.5436172485351562E-2</c:v>
                </c:pt>
                <c:pt idx="47">
                  <c:v>1.5909194946289062E-2</c:v>
                </c:pt>
                <c:pt idx="48">
                  <c:v>1.6736984252929688E-2</c:v>
                </c:pt>
                <c:pt idx="49">
                  <c:v>1.7485857009887695E-2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8B-3941-9E5F-EDF70CF71E5A}"/>
            </c:ext>
          </c:extLst>
        </c:ser>
        <c:ser>
          <c:idx val="3"/>
          <c:order val="3"/>
          <c:tx>
            <c:strRef>
              <c:f>'Test Vitesse'!$F$5</c:f>
              <c:strCache>
                <c:ptCount val="1"/>
                <c:pt idx="0">
                  <c:v>VBA Backward</c:v>
                </c:pt>
              </c:strCache>
            </c:strRef>
          </c:tx>
          <c:marker>
            <c:symbol val="none"/>
          </c:marker>
          <c:xVal>
            <c:numRef>
              <c:f>'Test Vitesse'!$B$6:$B$55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Vitesse'!$F$6:$F$55</c:f>
              <c:numCache>
                <c:formatCode>General</c:formatCode>
                <c:ptCount val="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8B-3941-9E5F-EDF70CF71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54223"/>
        <c:axId val="1208122751"/>
      </c:scatterChart>
      <c:valAx>
        <c:axId val="703054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8122751"/>
        <c:crosses val="autoZero"/>
        <c:crossBetween val="midCat"/>
      </c:valAx>
      <c:valAx>
        <c:axId val="12081227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305422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Vitesse'!$W$5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Vitesse'!$W$6:$W$55</c:f>
              <c:numCache>
                <c:formatCode>General</c:formatCode>
                <c:ptCount val="50"/>
                <c:pt idx="0">
                  <c:v>3.3140182495117188E-5</c:v>
                </c:pt>
                <c:pt idx="1">
                  <c:v>2.7012825012207031E-4</c:v>
                </c:pt>
                <c:pt idx="2">
                  <c:v>4.9495697021484375E-4</c:v>
                </c:pt>
                <c:pt idx="3">
                  <c:v>3.7407875061035156E-4</c:v>
                </c:pt>
                <c:pt idx="4">
                  <c:v>6.7591667175292969E-4</c:v>
                </c:pt>
                <c:pt idx="5">
                  <c:v>1.0879039764404297E-3</c:v>
                </c:pt>
                <c:pt idx="6">
                  <c:v>1.4107227325439453E-3</c:v>
                </c:pt>
                <c:pt idx="7">
                  <c:v>1.2159347534179688E-3</c:v>
                </c:pt>
                <c:pt idx="8">
                  <c:v>1.5439987182617188E-3</c:v>
                </c:pt>
                <c:pt idx="9">
                  <c:v>1.8548965454101562E-3</c:v>
                </c:pt>
                <c:pt idx="10">
                  <c:v>2.2428035736083984E-3</c:v>
                </c:pt>
                <c:pt idx="11">
                  <c:v>2.6218891143798828E-3</c:v>
                </c:pt>
                <c:pt idx="12">
                  <c:v>3.0488967895507812E-3</c:v>
                </c:pt>
                <c:pt idx="13">
                  <c:v>3.0052661895751953E-3</c:v>
                </c:pt>
                <c:pt idx="14">
                  <c:v>3.3538341522216797E-3</c:v>
                </c:pt>
                <c:pt idx="15">
                  <c:v>3.7882328033447266E-3</c:v>
                </c:pt>
                <c:pt idx="16">
                  <c:v>4.1179656982421875E-3</c:v>
                </c:pt>
                <c:pt idx="17">
                  <c:v>4.1811466217041016E-3</c:v>
                </c:pt>
                <c:pt idx="18">
                  <c:v>4.2572021484375E-3</c:v>
                </c:pt>
                <c:pt idx="19">
                  <c:v>4.4190883636474609E-3</c:v>
                </c:pt>
                <c:pt idx="20">
                  <c:v>4.730224609375E-3</c:v>
                </c:pt>
                <c:pt idx="21">
                  <c:v>4.7879219055175781E-3</c:v>
                </c:pt>
                <c:pt idx="22">
                  <c:v>4.6107769012451172E-3</c:v>
                </c:pt>
                <c:pt idx="23">
                  <c:v>4.7190189361572266E-3</c:v>
                </c:pt>
                <c:pt idx="24">
                  <c:v>4.9538612365722656E-3</c:v>
                </c:pt>
                <c:pt idx="25">
                  <c:v>4.9626827239990234E-3</c:v>
                </c:pt>
                <c:pt idx="26">
                  <c:v>5.046844482421875E-3</c:v>
                </c:pt>
                <c:pt idx="27">
                  <c:v>5.374908447265625E-3</c:v>
                </c:pt>
                <c:pt idx="28">
                  <c:v>5.7370662689208984E-3</c:v>
                </c:pt>
                <c:pt idx="29">
                  <c:v>6.2019824981689453E-3</c:v>
                </c:pt>
                <c:pt idx="30">
                  <c:v>6.5169334411621094E-3</c:v>
                </c:pt>
                <c:pt idx="31">
                  <c:v>6.9010257720947266E-3</c:v>
                </c:pt>
                <c:pt idx="32">
                  <c:v>7.2848796844482422E-3</c:v>
                </c:pt>
                <c:pt idx="33">
                  <c:v>7.5769424438476562E-3</c:v>
                </c:pt>
                <c:pt idx="34">
                  <c:v>7.9550743103027344E-3</c:v>
                </c:pt>
                <c:pt idx="35">
                  <c:v>8.2333087921142578E-3</c:v>
                </c:pt>
                <c:pt idx="36">
                  <c:v>8.7811946868896484E-3</c:v>
                </c:pt>
                <c:pt idx="37">
                  <c:v>9.1860294342041016E-3</c:v>
                </c:pt>
                <c:pt idx="38">
                  <c:v>3.1054973602294922E-2</c:v>
                </c:pt>
                <c:pt idx="39">
                  <c:v>1.0097026824951172E-2</c:v>
                </c:pt>
                <c:pt idx="40">
                  <c:v>1.0396003723144531E-2</c:v>
                </c:pt>
                <c:pt idx="41">
                  <c:v>1.1025905609130859E-2</c:v>
                </c:pt>
                <c:pt idx="42">
                  <c:v>1.1206865310668945E-2</c:v>
                </c:pt>
                <c:pt idx="43">
                  <c:v>1.1731147766113281E-2</c:v>
                </c:pt>
                <c:pt idx="44">
                  <c:v>1.2082099914550781E-2</c:v>
                </c:pt>
                <c:pt idx="45">
                  <c:v>1.2775897979736328E-2</c:v>
                </c:pt>
                <c:pt idx="46">
                  <c:v>1.3280153274536133E-2</c:v>
                </c:pt>
                <c:pt idx="47">
                  <c:v>1.3707160949707031E-2</c:v>
                </c:pt>
                <c:pt idx="48">
                  <c:v>1.44500732421875E-2</c:v>
                </c:pt>
                <c:pt idx="49">
                  <c:v>1.5106201171875E-2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8B-034F-83D3-23E58C564EFB}"/>
            </c:ext>
          </c:extLst>
        </c:ser>
        <c:ser>
          <c:idx val="1"/>
          <c:order val="1"/>
          <c:tx>
            <c:strRef>
              <c:f>'Test Vitesse'!$X$5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Vitesse'!$X$6:$X$55</c:f>
              <c:numCache>
                <c:formatCode>General</c:formatCode>
                <c:ptCount val="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8B-034F-83D3-23E58C564EFB}"/>
            </c:ext>
          </c:extLst>
        </c:ser>
        <c:ser>
          <c:idx val="2"/>
          <c:order val="2"/>
          <c:tx>
            <c:strRef>
              <c:f>'Test Vitesse'!$Y$5</c:f>
              <c:strCache>
                <c:ptCount val="1"/>
                <c:pt idx="0">
                  <c:v>Python Backward</c:v>
                </c:pt>
              </c:strCache>
            </c:strRef>
          </c:tx>
          <c:marker>
            <c:symbol val="none"/>
          </c:marker>
          <c:xVal>
            <c:numRef>
              <c:f>'Test Vitesse'!$V$6:$V$55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Vitesse'!$Y$6:$Y$55</c:f>
              <c:numCache>
                <c:formatCode>General</c:formatCode>
                <c:ptCount val="50"/>
                <c:pt idx="0">
                  <c:v>4.3153762817382812E-5</c:v>
                </c:pt>
                <c:pt idx="1">
                  <c:v>2.5606155395507812E-4</c:v>
                </c:pt>
                <c:pt idx="2">
                  <c:v>4.6992301940917969E-4</c:v>
                </c:pt>
                <c:pt idx="3">
                  <c:v>3.6191940307617188E-4</c:v>
                </c:pt>
                <c:pt idx="4">
                  <c:v>6.6685676574707031E-4</c:v>
                </c:pt>
                <c:pt idx="5">
                  <c:v>9.0813636779785156E-4</c:v>
                </c:pt>
                <c:pt idx="6">
                  <c:v>1.1401176452636719E-3</c:v>
                </c:pt>
                <c:pt idx="7">
                  <c:v>1.4090538024902344E-3</c:v>
                </c:pt>
                <c:pt idx="8">
                  <c:v>1.4281272888183594E-3</c:v>
                </c:pt>
                <c:pt idx="9">
                  <c:v>1.7650127410888672E-3</c:v>
                </c:pt>
                <c:pt idx="10">
                  <c:v>2.1450519561767578E-3</c:v>
                </c:pt>
                <c:pt idx="11">
                  <c:v>2.4740695953369141E-3</c:v>
                </c:pt>
                <c:pt idx="12">
                  <c:v>2.8705596923828125E-3</c:v>
                </c:pt>
                <c:pt idx="13">
                  <c:v>3.2980442047119141E-3</c:v>
                </c:pt>
                <c:pt idx="14">
                  <c:v>3.1881332397460938E-3</c:v>
                </c:pt>
                <c:pt idx="15">
                  <c:v>3.6389827728271484E-3</c:v>
                </c:pt>
                <c:pt idx="16">
                  <c:v>4.1232109069824219E-3</c:v>
                </c:pt>
                <c:pt idx="17">
                  <c:v>4.2159557342529297E-3</c:v>
                </c:pt>
                <c:pt idx="18">
                  <c:v>4.3239593505859375E-3</c:v>
                </c:pt>
                <c:pt idx="19">
                  <c:v>4.4491291046142578E-3</c:v>
                </c:pt>
                <c:pt idx="20">
                  <c:v>4.5258998870849609E-3</c:v>
                </c:pt>
                <c:pt idx="21">
                  <c:v>4.7049522399902344E-3</c:v>
                </c:pt>
                <c:pt idx="22">
                  <c:v>4.4417381286621094E-3</c:v>
                </c:pt>
                <c:pt idx="23">
                  <c:v>4.7061443328857422E-3</c:v>
                </c:pt>
                <c:pt idx="24">
                  <c:v>4.9250125885009766E-3</c:v>
                </c:pt>
                <c:pt idx="25">
                  <c:v>4.9359798431396484E-3</c:v>
                </c:pt>
                <c:pt idx="26">
                  <c:v>4.9540996551513672E-3</c:v>
                </c:pt>
                <c:pt idx="27">
                  <c:v>5.3188800811767578E-3</c:v>
                </c:pt>
                <c:pt idx="28">
                  <c:v>5.6083202362060547E-3</c:v>
                </c:pt>
                <c:pt idx="29">
                  <c:v>6.0427188873291016E-3</c:v>
                </c:pt>
                <c:pt idx="30">
                  <c:v>6.2019824981689453E-3</c:v>
                </c:pt>
                <c:pt idx="31">
                  <c:v>6.5870285034179688E-3</c:v>
                </c:pt>
                <c:pt idx="32">
                  <c:v>7.1687698364257812E-3</c:v>
                </c:pt>
                <c:pt idx="33">
                  <c:v>7.3800086975097656E-3</c:v>
                </c:pt>
                <c:pt idx="34">
                  <c:v>7.7362060546875E-3</c:v>
                </c:pt>
                <c:pt idx="35">
                  <c:v>8.2700252532958984E-3</c:v>
                </c:pt>
                <c:pt idx="36">
                  <c:v>8.4428787231445312E-3</c:v>
                </c:pt>
                <c:pt idx="37">
                  <c:v>8.8529586791992188E-3</c:v>
                </c:pt>
                <c:pt idx="38">
                  <c:v>9.3812942504882812E-3</c:v>
                </c:pt>
                <c:pt idx="39">
                  <c:v>9.7799301147460938E-3</c:v>
                </c:pt>
                <c:pt idx="40">
                  <c:v>1.0128021240234375E-2</c:v>
                </c:pt>
                <c:pt idx="41">
                  <c:v>1.0446786880493164E-2</c:v>
                </c:pt>
                <c:pt idx="42">
                  <c:v>1.0684967041015625E-2</c:v>
                </c:pt>
                <c:pt idx="43">
                  <c:v>1.1374235153198242E-2</c:v>
                </c:pt>
                <c:pt idx="44">
                  <c:v>1.1382102966308594E-2</c:v>
                </c:pt>
                <c:pt idx="45">
                  <c:v>1.2408971786499023E-2</c:v>
                </c:pt>
                <c:pt idx="46">
                  <c:v>1.2910842895507812E-2</c:v>
                </c:pt>
                <c:pt idx="47">
                  <c:v>3.3778190612792969E-2</c:v>
                </c:pt>
                <c:pt idx="48">
                  <c:v>1.3729095458984375E-2</c:v>
                </c:pt>
                <c:pt idx="49">
                  <c:v>1.4322757720947266E-2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8B-034F-83D3-23E58C564EFB}"/>
            </c:ext>
          </c:extLst>
        </c:ser>
        <c:ser>
          <c:idx val="3"/>
          <c:order val="3"/>
          <c:tx>
            <c:strRef>
              <c:f>'Test Vitesse'!$Z$5</c:f>
              <c:strCache>
                <c:ptCount val="1"/>
                <c:pt idx="0">
                  <c:v>VBA Backward</c:v>
                </c:pt>
              </c:strCache>
            </c:strRef>
          </c:tx>
          <c:marker>
            <c:symbol val="none"/>
          </c:marker>
          <c:xVal>
            <c:numRef>
              <c:f>'Test Vitesse'!$V$6:$V$55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'Test Vitesse'!$Z$6:$Z$55</c:f>
              <c:numCache>
                <c:formatCode>General</c:formatCode>
                <c:ptCount val="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8B-034F-83D3-23E58C564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054223"/>
        <c:axId val="1208318527"/>
      </c:scatterChart>
      <c:valAx>
        <c:axId val="703054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8318527"/>
        <c:crosses val="autoZero"/>
        <c:crossBetween val="midCat"/>
      </c:valAx>
      <c:valAx>
        <c:axId val="12083185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305422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1054100</xdr:colOff>
          <xdr:row>14</xdr:row>
          <xdr:rowOff>241300</xdr:rowOff>
        </xdr:from>
        <xdr:to>
          <xdr:col>9</xdr:col>
          <xdr:colOff>1206500</xdr:colOff>
          <xdr:row>19</xdr:row>
          <xdr:rowOff>12700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14</xdr:row>
          <xdr:rowOff>241300</xdr:rowOff>
        </xdr:from>
        <xdr:to>
          <xdr:col>14</xdr:col>
          <xdr:colOff>0</xdr:colOff>
          <xdr:row>18</xdr:row>
          <xdr:rowOff>266700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CONVERGENCE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1054100</xdr:colOff>
          <xdr:row>21</xdr:row>
          <xdr:rowOff>165100</xdr:rowOff>
        </xdr:from>
        <xdr:to>
          <xdr:col>9</xdr:col>
          <xdr:colOff>1244600</xdr:colOff>
          <xdr:row>28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VITESSE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101600</xdr:colOff>
          <xdr:row>22</xdr:row>
          <xdr:rowOff>0</xdr:rowOff>
        </xdr:from>
        <xdr:to>
          <xdr:col>14</xdr:col>
          <xdr:colOff>25400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MULTI - TEST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31</xdr:row>
          <xdr:rowOff>0</xdr:rowOff>
        </xdr:from>
        <xdr:to>
          <xdr:col>9</xdr:col>
          <xdr:colOff>1219200</xdr:colOff>
          <xdr:row>37</xdr:row>
          <xdr:rowOff>152400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GRECS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687049</xdr:colOff>
      <xdr:row>4</xdr:row>
      <xdr:rowOff>143655</xdr:rowOff>
    </xdr:from>
    <xdr:to>
      <xdr:col>35</xdr:col>
      <xdr:colOff>62459</xdr:colOff>
      <xdr:row>31</xdr:row>
      <xdr:rowOff>164474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10F87CD-145A-AEFB-F85F-EE35535EB5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687049</xdr:colOff>
      <xdr:row>35</xdr:row>
      <xdr:rowOff>49967</xdr:rowOff>
    </xdr:from>
    <xdr:to>
      <xdr:col>35</xdr:col>
      <xdr:colOff>62459</xdr:colOff>
      <xdr:row>62</xdr:row>
      <xdr:rowOff>70787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8705C95C-9E24-0BC2-4B87-5AACD2018E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5</xdr:row>
      <xdr:rowOff>101600</xdr:rowOff>
    </xdr:from>
    <xdr:to>
      <xdr:col>19</xdr:col>
      <xdr:colOff>660400</xdr:colOff>
      <xdr:row>32</xdr:row>
      <xdr:rowOff>152400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487FF2FE-052B-D484-C456-FFBDC6F3CF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778933</xdr:colOff>
      <xdr:row>5</xdr:row>
      <xdr:rowOff>101600</xdr:rowOff>
    </xdr:from>
    <xdr:to>
      <xdr:col>40</xdr:col>
      <xdr:colOff>152400</xdr:colOff>
      <xdr:row>32</xdr:row>
      <xdr:rowOff>152400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8E1A8AFC-6790-414B-0F22-7D49FBEAC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>
    <tabColor theme="1"/>
  </sheetPr>
  <dimension ref="A1:N27"/>
  <sheetViews>
    <sheetView tabSelected="1" topLeftCell="A2" zoomScale="57" zoomScaleNormal="140" workbookViewId="0">
      <selection activeCell="F48" sqref="F48"/>
    </sheetView>
  </sheetViews>
  <sheetFormatPr baseColWidth="10" defaultRowHeight="15" x14ac:dyDescent="0.2"/>
  <cols>
    <col min="1" max="1" width="37.83203125" customWidth="1"/>
    <col min="2" max="2" width="29.83203125" customWidth="1"/>
    <col min="3" max="3" width="17" customWidth="1"/>
    <col min="4" max="4" width="24.33203125" customWidth="1"/>
    <col min="5" max="5" width="17" customWidth="1"/>
    <col min="6" max="6" width="16.83203125" customWidth="1"/>
    <col min="7" max="7" width="21.83203125" customWidth="1"/>
    <col min="8" max="8" width="21.33203125" customWidth="1"/>
    <col min="9" max="9" width="16.83203125" customWidth="1"/>
    <col min="10" max="10" width="24.1640625" customWidth="1"/>
    <col min="11" max="11" width="15.1640625" customWidth="1"/>
    <col min="12" max="12" width="16.83203125" customWidth="1"/>
    <col min="13" max="13" width="16.6640625" customWidth="1"/>
    <col min="14" max="14" width="14.83203125" customWidth="1"/>
  </cols>
  <sheetData>
    <row r="1" spans="1:14" s="12" customFormat="1" ht="32" x14ac:dyDescent="0.4">
      <c r="A1" s="83" t="s">
        <v>37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6" thickBot="1" x14ac:dyDescent="0.25"/>
    <row r="3" spans="1:14" s="7" customFormat="1" ht="24" x14ac:dyDescent="0.3">
      <c r="A3" s="84" t="s">
        <v>32</v>
      </c>
      <c r="B3" s="85"/>
      <c r="D3" s="86" t="s">
        <v>33</v>
      </c>
      <c r="E3" s="87"/>
      <c r="G3" s="86" t="s">
        <v>34</v>
      </c>
      <c r="H3" s="87"/>
      <c r="J3" s="86" t="s">
        <v>35</v>
      </c>
      <c r="K3" s="87"/>
      <c r="M3" s="86" t="s">
        <v>36</v>
      </c>
      <c r="N3" s="87"/>
    </row>
    <row r="4" spans="1:14" s="9" customFormat="1" ht="19" x14ac:dyDescent="0.25">
      <c r="A4" s="37" t="s">
        <v>2</v>
      </c>
      <c r="B4" s="45">
        <v>100</v>
      </c>
      <c r="D4" s="13" t="s">
        <v>15</v>
      </c>
      <c r="E4" s="46">
        <v>95</v>
      </c>
      <c r="G4" s="13" t="s">
        <v>12</v>
      </c>
      <c r="H4" s="30">
        <v>45901</v>
      </c>
      <c r="J4" s="13" t="s">
        <v>29</v>
      </c>
      <c r="K4" s="27" t="s">
        <v>13</v>
      </c>
      <c r="M4" s="13" t="s">
        <v>10</v>
      </c>
      <c r="N4" s="27" t="s">
        <v>13</v>
      </c>
    </row>
    <row r="5" spans="1:14" s="9" customFormat="1" ht="20" thickBot="1" x14ac:dyDescent="0.3">
      <c r="A5" s="15" t="s">
        <v>3</v>
      </c>
      <c r="B5" s="39">
        <v>0.3</v>
      </c>
      <c r="D5" s="13" t="s">
        <v>0</v>
      </c>
      <c r="E5" s="28">
        <v>46266</v>
      </c>
      <c r="G5" s="13" t="s">
        <v>8</v>
      </c>
      <c r="H5" s="20">
        <v>50</v>
      </c>
      <c r="J5" s="13" t="s">
        <v>30</v>
      </c>
      <c r="K5" s="27" t="s">
        <v>13</v>
      </c>
      <c r="M5" s="14" t="s">
        <v>11</v>
      </c>
      <c r="N5" s="32">
        <v>9.9999999999999995E-8</v>
      </c>
    </row>
    <row r="6" spans="1:14" s="9" customFormat="1" ht="20" thickBot="1" x14ac:dyDescent="0.3">
      <c r="A6" s="15" t="s">
        <v>4</v>
      </c>
      <c r="B6" s="39">
        <v>0.05</v>
      </c>
      <c r="D6" s="13" t="s">
        <v>6</v>
      </c>
      <c r="E6" s="27" t="s">
        <v>17</v>
      </c>
      <c r="G6" s="13" t="s">
        <v>9</v>
      </c>
      <c r="H6" s="20">
        <f>(Maturity-date_pricing)/365/N</f>
        <v>0.02</v>
      </c>
      <c r="J6" s="14" t="s">
        <v>31</v>
      </c>
      <c r="K6" s="29" t="s">
        <v>13</v>
      </c>
    </row>
    <row r="7" spans="1:14" s="9" customFormat="1" ht="20" thickBot="1" x14ac:dyDescent="0.3">
      <c r="A7" s="15" t="s">
        <v>80</v>
      </c>
      <c r="B7" s="20"/>
      <c r="D7" s="14" t="s">
        <v>7</v>
      </c>
      <c r="E7" s="29" t="s">
        <v>27</v>
      </c>
      <c r="G7" s="14" t="s">
        <v>1</v>
      </c>
      <c r="H7" s="31">
        <f>EXP(Vol*(3*Delta_t)^0.5)</f>
        <v>1.0762520615843478</v>
      </c>
      <c r="J7" s="8"/>
      <c r="K7" s="77"/>
    </row>
    <row r="8" spans="1:14" s="9" customFormat="1" ht="19" x14ac:dyDescent="0.25">
      <c r="A8" s="15" t="s">
        <v>44</v>
      </c>
      <c r="B8" s="38">
        <v>0.03</v>
      </c>
    </row>
    <row r="9" spans="1:14" s="9" customFormat="1" ht="19" x14ac:dyDescent="0.25">
      <c r="A9" s="15" t="s">
        <v>45</v>
      </c>
      <c r="B9" s="38">
        <v>0.03</v>
      </c>
      <c r="G9" s="8"/>
    </row>
    <row r="10" spans="1:14" s="9" customFormat="1" ht="20" thickBot="1" x14ac:dyDescent="0.3">
      <c r="A10" s="17" t="s">
        <v>5</v>
      </c>
      <c r="B10" s="26"/>
    </row>
    <row r="11" spans="1:14" s="9" customFormat="1" ht="19" x14ac:dyDescent="0.25">
      <c r="A11" s="8"/>
      <c r="B11" s="36"/>
    </row>
    <row r="12" spans="1:14" s="9" customFormat="1" ht="19" x14ac:dyDescent="0.25">
      <c r="A12" s="8"/>
      <c r="B12" s="36"/>
    </row>
    <row r="13" spans="1:14" s="9" customFormat="1" ht="19" x14ac:dyDescent="0.25">
      <c r="A13" s="8"/>
      <c r="B13" s="36"/>
      <c r="E13" s="44"/>
    </row>
    <row r="14" spans="1:14" s="9" customFormat="1" ht="19" x14ac:dyDescent="0.25">
      <c r="A14" s="8"/>
      <c r="B14" s="36"/>
    </row>
    <row r="15" spans="1:14" s="9" customFormat="1" ht="20" thickBot="1" x14ac:dyDescent="0.3">
      <c r="A15" s="10"/>
      <c r="D15" s="11"/>
      <c r="F15" s="11"/>
      <c r="H15" s="8"/>
    </row>
    <row r="16" spans="1:14" s="9" customFormat="1" ht="24" x14ac:dyDescent="0.3">
      <c r="A16" s="78" t="s">
        <v>53</v>
      </c>
      <c r="B16" s="79"/>
      <c r="C16" s="8"/>
      <c r="D16" s="80" t="s">
        <v>52</v>
      </c>
      <c r="E16" s="81"/>
      <c r="F16" s="82"/>
    </row>
    <row r="17" spans="1:6" s="9" customFormat="1" ht="19" x14ac:dyDescent="0.25">
      <c r="A17" s="15" t="s">
        <v>38</v>
      </c>
      <c r="B17" s="16" t="s">
        <v>20</v>
      </c>
      <c r="D17" s="19"/>
      <c r="E17" s="23" t="s">
        <v>42</v>
      </c>
      <c r="F17" s="24" t="s">
        <v>43</v>
      </c>
    </row>
    <row r="18" spans="1:6" s="9" customFormat="1" ht="20" thickBot="1" x14ac:dyDescent="0.3">
      <c r="A18" s="17" t="s">
        <v>39</v>
      </c>
      <c r="B18" s="18" t="s">
        <v>19</v>
      </c>
      <c r="D18" s="21" t="s">
        <v>40</v>
      </c>
      <c r="E18" s="33">
        <v>16.816973958856725</v>
      </c>
      <c r="F18" s="25">
        <v>16.795797420674354</v>
      </c>
    </row>
    <row r="19" spans="1:6" ht="20" thickBot="1" x14ac:dyDescent="0.3">
      <c r="D19" s="22" t="s">
        <v>41</v>
      </c>
      <c r="E19" s="34">
        <v>1.8542051315307617E-2</v>
      </c>
      <c r="F19" s="35">
        <v>7.9512596130371094E-4</v>
      </c>
    </row>
    <row r="20" spans="1:6" ht="19" x14ac:dyDescent="0.25">
      <c r="B20" s="4"/>
      <c r="E20" s="9"/>
      <c r="F20" s="9"/>
    </row>
    <row r="21" spans="1:6" x14ac:dyDescent="0.2">
      <c r="B21" s="5"/>
    </row>
    <row r="22" spans="1:6" x14ac:dyDescent="0.2">
      <c r="B22" s="5"/>
    </row>
    <row r="25" spans="1:6" ht="19" x14ac:dyDescent="0.25">
      <c r="E25" s="33"/>
    </row>
    <row r="27" spans="1:6" s="2" customFormat="1" x14ac:dyDescent="0.2"/>
  </sheetData>
  <mergeCells count="8">
    <mergeCell ref="A16:B16"/>
    <mergeCell ref="D16:F16"/>
    <mergeCell ref="A1:N1"/>
    <mergeCell ref="A3:B3"/>
    <mergeCell ref="D3:E3"/>
    <mergeCell ref="G3:H3"/>
    <mergeCell ref="J3:K3"/>
    <mergeCell ref="M3:N3"/>
  </mergeCells>
  <dataValidations count="2">
    <dataValidation type="decimal" allowBlank="1" showInputMessage="1" showErrorMessage="1" sqref="B6:B7" xr:uid="{A60EBA0C-573B-4C8F-8568-1E75D87A8071}">
      <formula1>-0.5</formula1>
      <formula2>0.5</formula2>
    </dataValidation>
    <dataValidation type="decimal" operator="greaterThan" allowBlank="1" showInputMessage="1" showErrorMessage="1" sqref="B5" xr:uid="{90A9E0A5-1D50-4E69-960B-B57934CA5942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RunPricer">
                <anchor moveWithCells="1">
                  <from>
                    <xdr:col>6</xdr:col>
                    <xdr:colOff>1054100</xdr:colOff>
                    <xdr:row>14</xdr:row>
                    <xdr:rowOff>241300</xdr:rowOff>
                  </from>
                  <to>
                    <xdr:col>9</xdr:col>
                    <xdr:colOff>1206500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Lancer_Test_Convergence">
                <anchor moveWithCells="1" sizeWithCells="1">
                  <from>
                    <xdr:col>10</xdr:col>
                    <xdr:colOff>76200</xdr:colOff>
                    <xdr:row>14</xdr:row>
                    <xdr:rowOff>241300</xdr:rowOff>
                  </from>
                  <to>
                    <xdr:col>14</xdr:col>
                    <xdr:colOff>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Lancer_Test_Vitesse">
                <anchor moveWithCells="1" sizeWithCells="1">
                  <from>
                    <xdr:col>6</xdr:col>
                    <xdr:colOff>1054100</xdr:colOff>
                    <xdr:row>21</xdr:row>
                    <xdr:rowOff>165100</xdr:rowOff>
                  </from>
                  <to>
                    <xdr:col>9</xdr:col>
                    <xdr:colOff>1244600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Bouton26_Cliquer">
                <anchor moveWithCells="1" sizeWithCells="1">
                  <from>
                    <xdr:col>10</xdr:col>
                    <xdr:colOff>101600</xdr:colOff>
                    <xdr:row>22</xdr:row>
                    <xdr:rowOff>0</xdr:rowOff>
                  </from>
                  <to>
                    <xdr:col>14</xdr:col>
                    <xdr:colOff>25400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Bouton63_Cliquer">
                <anchor moveWithCells="1" sizeWithCells="1">
                  <from>
                    <xdr:col>6</xdr:col>
                    <xdr:colOff>1041400</xdr:colOff>
                    <xdr:row>31</xdr:row>
                    <xdr:rowOff>0</xdr:rowOff>
                  </from>
                  <to>
                    <xdr:col>9</xdr:col>
                    <xdr:colOff>1219200</xdr:colOff>
                    <xdr:row>37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03124C-3712-424A-9A60-161E38B0E830}">
          <x14:formula1>
            <xm:f>Listes!$A$2:$A$3</xm:f>
          </x14:formula1>
          <xm:sqref>B17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B18</xm:sqref>
        </x14:dataValidation>
        <x14:dataValidation type="list" allowBlank="1" showInputMessage="1" showErrorMessage="1" xr:uid="{61374F73-008E-4413-902B-450651D4CE79}">
          <x14:formula1>
            <xm:f>Listes!$C$2:$C$3</xm:f>
          </x14:formula1>
          <xm:sqref>K4:K7 N4</xm:sqref>
        </x14:dataValidation>
        <x14:dataValidation type="list" allowBlank="1" showInputMessage="1" showErrorMessage="1" xr:uid="{34A2C9B4-85E4-485D-8626-357D42AFE32F}">
          <x14:formula1>
            <xm:f>Listes!$D$2:$D$3</xm:f>
          </x14:formula1>
          <xm:sqref>E6:E7</xm:sqref>
        </x14:dataValidation>
        <x14:dataValidation type="list" allowBlank="1" showInputMessage="1" showErrorMessage="1" xr:uid="{75B78300-D337-4C8B-9DFE-4EA181BED801}">
          <x14:formula1>
            <xm:f>Listes!$E$2:$E$3</xm:f>
          </x14:formula1>
          <xm:sqref>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E3"/>
  <sheetViews>
    <sheetView workbookViewId="0">
      <selection activeCell="D21" sqref="D21"/>
    </sheetView>
  </sheetViews>
  <sheetFormatPr baseColWidth="10" defaultRowHeight="15" x14ac:dyDescent="0.2"/>
  <cols>
    <col min="1" max="1" width="18.5" bestFit="1" customWidth="1"/>
    <col min="2" max="2" width="25.5" bestFit="1" customWidth="1"/>
  </cols>
  <sheetData>
    <row r="1" spans="1:5" s="2" customFormat="1" x14ac:dyDescent="0.2">
      <c r="A1" s="2" t="s">
        <v>21</v>
      </c>
      <c r="B1" s="2" t="s">
        <v>23</v>
      </c>
      <c r="C1" s="2" t="s">
        <v>28</v>
      </c>
      <c r="D1" s="2" t="s">
        <v>6</v>
      </c>
      <c r="E1" s="2" t="s">
        <v>7</v>
      </c>
    </row>
    <row r="2" spans="1:5" x14ac:dyDescent="0.2">
      <c r="A2" t="s">
        <v>22</v>
      </c>
      <c r="B2" t="s">
        <v>24</v>
      </c>
      <c r="C2" t="s">
        <v>13</v>
      </c>
      <c r="D2" t="s">
        <v>17</v>
      </c>
      <c r="E2" t="s">
        <v>27</v>
      </c>
    </row>
    <row r="3" spans="1:5" x14ac:dyDescent="0.2">
      <c r="A3" t="s">
        <v>20</v>
      </c>
      <c r="B3" t="s">
        <v>19</v>
      </c>
      <c r="C3" t="s">
        <v>14</v>
      </c>
      <c r="D3" t="s">
        <v>26</v>
      </c>
      <c r="E3" t="s">
        <v>25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>
    <tabColor theme="9" tint="0.39997558519241921"/>
  </sheetPr>
  <dimension ref="A1:AY75"/>
  <sheetViews>
    <sheetView zoomScale="31" zoomScaleNormal="18" workbookViewId="0">
      <selection activeCell="R61" sqref="R61"/>
    </sheetView>
  </sheetViews>
  <sheetFormatPr baseColWidth="10" defaultRowHeight="15" x14ac:dyDescent="0.2"/>
  <cols>
    <col min="1" max="1" width="13.6640625" bestFit="1" customWidth="1"/>
    <col min="2" max="51" width="9.1640625" bestFit="1" customWidth="1"/>
    <col min="52" max="702" width="10.33203125" bestFit="1" customWidth="1"/>
  </cols>
  <sheetData>
    <row r="1" spans="1:1" s="3" customFormat="1" x14ac:dyDescent="0.2">
      <c r="A1" s="3" t="s">
        <v>58</v>
      </c>
    </row>
    <row r="23" spans="3:3" x14ac:dyDescent="0.2">
      <c r="C23" s="6"/>
    </row>
    <row r="33" spans="6:51" x14ac:dyDescent="0.2">
      <c r="AU33">
        <v>455.01459999999997</v>
      </c>
      <c r="AV33">
        <v>455.46949999999998</v>
      </c>
      <c r="AW33">
        <v>455.92489999999998</v>
      </c>
      <c r="AX33">
        <v>456.38069999999999</v>
      </c>
      <c r="AY33">
        <v>456.83699999999999</v>
      </c>
    </row>
    <row r="34" spans="6:51" x14ac:dyDescent="0.2">
      <c r="AQ34">
        <v>421.101</v>
      </c>
      <c r="AR34">
        <v>421.52199999999999</v>
      </c>
      <c r="AS34">
        <v>421.94349999999997</v>
      </c>
      <c r="AT34">
        <v>422.36529999999999</v>
      </c>
      <c r="AU34">
        <v>422.7876</v>
      </c>
      <c r="AV34">
        <v>423.21030000000002</v>
      </c>
      <c r="AW34">
        <v>423.63350000000003</v>
      </c>
      <c r="AX34">
        <v>424.05700000000002</v>
      </c>
      <c r="AY34">
        <v>424.48099999999999</v>
      </c>
    </row>
    <row r="35" spans="6:51" x14ac:dyDescent="0.2">
      <c r="AL35">
        <v>389.32580000000002</v>
      </c>
      <c r="AM35">
        <v>389.71510000000001</v>
      </c>
      <c r="AN35">
        <v>390.10469999999998</v>
      </c>
      <c r="AO35">
        <v>390.49470000000002</v>
      </c>
      <c r="AP35">
        <v>390.8852</v>
      </c>
      <c r="AQ35">
        <v>391.27600000000001</v>
      </c>
      <c r="AR35">
        <v>391.66719999999998</v>
      </c>
      <c r="AS35">
        <v>392.05880000000002</v>
      </c>
      <c r="AT35">
        <v>392.45080000000002</v>
      </c>
      <c r="AU35">
        <v>392.84309999999999</v>
      </c>
      <c r="AV35">
        <v>393.23590000000002</v>
      </c>
      <c r="AW35">
        <v>393.62909999999999</v>
      </c>
      <c r="AX35">
        <v>394.02260000000001</v>
      </c>
      <c r="AY35">
        <v>394.41660000000002</v>
      </c>
    </row>
    <row r="36" spans="6:51" x14ac:dyDescent="0.2">
      <c r="AH36">
        <v>360.3082</v>
      </c>
      <c r="AI36">
        <v>360.66840000000002</v>
      </c>
      <c r="AJ36">
        <v>361.029</v>
      </c>
      <c r="AK36">
        <v>361.39</v>
      </c>
      <c r="AL36">
        <v>361.75130000000001</v>
      </c>
      <c r="AM36">
        <v>362.113</v>
      </c>
      <c r="AN36">
        <v>362.4751</v>
      </c>
      <c r="AO36">
        <v>362.83749999999998</v>
      </c>
      <c r="AP36">
        <v>363.2002</v>
      </c>
      <c r="AQ36">
        <v>363.5634</v>
      </c>
      <c r="AR36">
        <v>363.92689999999999</v>
      </c>
      <c r="AS36">
        <v>364.29070000000002</v>
      </c>
      <c r="AT36">
        <v>364.6549</v>
      </c>
      <c r="AU36">
        <v>365.01949999999999</v>
      </c>
      <c r="AV36">
        <v>365.3845</v>
      </c>
      <c r="AW36">
        <v>365.74979999999999</v>
      </c>
      <c r="AX36">
        <v>366.1155</v>
      </c>
      <c r="AY36">
        <v>366.48149999999998</v>
      </c>
    </row>
    <row r="37" spans="6:51" x14ac:dyDescent="0.2">
      <c r="AD37">
        <v>333.45330000000001</v>
      </c>
      <c r="AE37">
        <v>333.7867</v>
      </c>
      <c r="AF37">
        <v>334.12049999999999</v>
      </c>
      <c r="AG37">
        <v>334.4545</v>
      </c>
      <c r="AH37">
        <v>334.78890000000001</v>
      </c>
      <c r="AI37">
        <v>335.12360000000001</v>
      </c>
      <c r="AJ37">
        <v>335.45870000000002</v>
      </c>
      <c r="AK37">
        <v>335.79410000000001</v>
      </c>
      <c r="AL37">
        <v>336.12979999999999</v>
      </c>
      <c r="AM37">
        <v>336.46589999999998</v>
      </c>
      <c r="AN37">
        <v>336.8023</v>
      </c>
      <c r="AO37">
        <v>337.13900000000001</v>
      </c>
      <c r="AP37">
        <v>337.47609999999997</v>
      </c>
      <c r="AQ37">
        <v>337.81349999999998</v>
      </c>
      <c r="AR37">
        <v>338.15129999999999</v>
      </c>
      <c r="AS37">
        <v>338.48939999999999</v>
      </c>
      <c r="AT37">
        <v>338.82780000000002</v>
      </c>
      <c r="AU37">
        <v>339.16660000000002</v>
      </c>
      <c r="AV37">
        <v>339.50569999999999</v>
      </c>
      <c r="AW37">
        <v>339.8451</v>
      </c>
      <c r="AX37">
        <v>340.18490000000003</v>
      </c>
      <c r="AY37">
        <v>340.52499999999998</v>
      </c>
    </row>
    <row r="38" spans="6:51" x14ac:dyDescent="0.2">
      <c r="AA38">
        <v>308.90859999999998</v>
      </c>
      <c r="AB38">
        <v>309.21749999999997</v>
      </c>
      <c r="AC38">
        <v>309.52659999999997</v>
      </c>
      <c r="AD38">
        <v>309.83609999999999</v>
      </c>
      <c r="AE38">
        <v>310.14589999999998</v>
      </c>
      <c r="AF38">
        <v>310.45600000000002</v>
      </c>
      <c r="AG38">
        <v>310.76639999999998</v>
      </c>
      <c r="AH38">
        <v>311.07709999999997</v>
      </c>
      <c r="AI38">
        <v>311.38810000000001</v>
      </c>
      <c r="AJ38">
        <v>311.69940000000003</v>
      </c>
      <c r="AK38">
        <v>312.0111</v>
      </c>
      <c r="AL38">
        <v>312.32299999999998</v>
      </c>
      <c r="AM38">
        <v>312.63529999999997</v>
      </c>
      <c r="AN38">
        <v>312.9479</v>
      </c>
      <c r="AO38">
        <v>313.26069999999999</v>
      </c>
      <c r="AP38">
        <v>313.57389999999998</v>
      </c>
      <c r="AQ38">
        <v>313.88749999999999</v>
      </c>
      <c r="AR38">
        <v>314.2013</v>
      </c>
      <c r="AS38">
        <v>314.5154</v>
      </c>
      <c r="AT38">
        <v>314.82990000000001</v>
      </c>
      <c r="AU38">
        <v>315.1447</v>
      </c>
      <c r="AV38">
        <v>315.45979999999997</v>
      </c>
      <c r="AW38">
        <v>315.77519999999998</v>
      </c>
      <c r="AX38">
        <v>316.09089999999998</v>
      </c>
      <c r="AY38">
        <v>316.40690000000001</v>
      </c>
    </row>
    <row r="39" spans="6:51" x14ac:dyDescent="0.2">
      <c r="W39">
        <v>285.88470000000001</v>
      </c>
      <c r="X39">
        <v>286.17059999999998</v>
      </c>
      <c r="Y39">
        <v>286.45670000000001</v>
      </c>
      <c r="Z39">
        <v>286.74310000000003</v>
      </c>
      <c r="AA39">
        <v>287.02980000000002</v>
      </c>
      <c r="AB39">
        <v>287.31670000000003</v>
      </c>
      <c r="AC39">
        <v>287.60399999999998</v>
      </c>
      <c r="AD39">
        <v>287.89159999999998</v>
      </c>
      <c r="AE39">
        <v>288.17939999999999</v>
      </c>
      <c r="AF39">
        <v>288.46749999999997</v>
      </c>
      <c r="AG39">
        <v>288.7559</v>
      </c>
      <c r="AH39">
        <v>289.0446</v>
      </c>
      <c r="AI39">
        <v>289.33359999999999</v>
      </c>
      <c r="AJ39">
        <v>289.62290000000002</v>
      </c>
      <c r="AK39">
        <v>289.91250000000002</v>
      </c>
      <c r="AL39">
        <v>290.20229999999998</v>
      </c>
      <c r="AM39">
        <v>290.49250000000001</v>
      </c>
      <c r="AN39">
        <v>290.78289999999998</v>
      </c>
      <c r="AO39">
        <v>291.07369999999997</v>
      </c>
      <c r="AP39">
        <v>291.36470000000003</v>
      </c>
      <c r="AQ39">
        <v>291.65600000000001</v>
      </c>
      <c r="AR39">
        <v>291.94760000000002</v>
      </c>
      <c r="AS39">
        <v>292.23950000000002</v>
      </c>
      <c r="AT39">
        <v>292.5317</v>
      </c>
      <c r="AU39">
        <v>292.82409999999999</v>
      </c>
      <c r="AV39">
        <v>293.11689999999999</v>
      </c>
      <c r="AW39">
        <v>293.41000000000003</v>
      </c>
      <c r="AX39">
        <v>293.70330000000001</v>
      </c>
      <c r="AY39">
        <v>293.99700000000001</v>
      </c>
    </row>
    <row r="40" spans="6:51" x14ac:dyDescent="0.2">
      <c r="T40">
        <v>264.84140000000002</v>
      </c>
      <c r="U40">
        <v>265.1062</v>
      </c>
      <c r="V40">
        <v>265.37130000000002</v>
      </c>
      <c r="W40">
        <v>265.63659999999999</v>
      </c>
      <c r="X40">
        <v>265.90219999999999</v>
      </c>
      <c r="Y40">
        <v>266.16800000000001</v>
      </c>
      <c r="Z40">
        <v>266.4341</v>
      </c>
      <c r="AA40">
        <v>266.70049999999998</v>
      </c>
      <c r="AB40">
        <v>266.96719999999999</v>
      </c>
      <c r="AC40">
        <v>267.23410000000001</v>
      </c>
      <c r="AD40">
        <v>267.50130000000001</v>
      </c>
      <c r="AE40">
        <v>267.76870000000002</v>
      </c>
      <c r="AF40">
        <v>268.03640000000001</v>
      </c>
      <c r="AG40">
        <v>268.30439999999999</v>
      </c>
      <c r="AH40">
        <v>268.5727</v>
      </c>
      <c r="AI40">
        <v>268.84120000000001</v>
      </c>
      <c r="AJ40">
        <v>269.11</v>
      </c>
      <c r="AK40">
        <v>269.37909999999999</v>
      </c>
      <c r="AL40">
        <v>269.64839999999998</v>
      </c>
      <c r="AM40">
        <v>269.91800000000001</v>
      </c>
      <c r="AN40">
        <v>270.18790000000001</v>
      </c>
      <c r="AO40">
        <v>270.45800000000003</v>
      </c>
      <c r="AP40">
        <v>270.72840000000002</v>
      </c>
      <c r="AQ40">
        <v>270.9991</v>
      </c>
      <c r="AR40">
        <v>271.27</v>
      </c>
      <c r="AS40">
        <v>271.54129999999998</v>
      </c>
      <c r="AT40">
        <v>271.81270000000001</v>
      </c>
      <c r="AU40">
        <v>272.08449999999999</v>
      </c>
      <c r="AV40">
        <v>272.35649999999998</v>
      </c>
      <c r="AW40">
        <v>272.62880000000001</v>
      </c>
      <c r="AX40">
        <v>272.90140000000002</v>
      </c>
      <c r="AY40">
        <v>273.17430000000002</v>
      </c>
    </row>
    <row r="41" spans="6:51" x14ac:dyDescent="0.2">
      <c r="Q41">
        <v>245.34700000000001</v>
      </c>
      <c r="R41">
        <v>245.59229999999999</v>
      </c>
      <c r="S41">
        <v>245.83789999999999</v>
      </c>
      <c r="T41">
        <v>246.08369999999999</v>
      </c>
      <c r="U41">
        <v>246.3297</v>
      </c>
      <c r="V41">
        <v>246.57599999999999</v>
      </c>
      <c r="W41">
        <v>246.82249999999999</v>
      </c>
      <c r="X41">
        <v>247.0693</v>
      </c>
      <c r="Y41">
        <v>247.31630000000001</v>
      </c>
      <c r="Z41">
        <v>247.56360000000001</v>
      </c>
      <c r="AA41">
        <v>247.81110000000001</v>
      </c>
      <c r="AB41">
        <v>248.05889999999999</v>
      </c>
      <c r="AC41">
        <v>248.30690000000001</v>
      </c>
      <c r="AD41">
        <v>248.55520000000001</v>
      </c>
      <c r="AE41">
        <v>248.80369999999999</v>
      </c>
      <c r="AF41">
        <v>249.05240000000001</v>
      </c>
      <c r="AG41">
        <v>249.3014</v>
      </c>
      <c r="AH41">
        <v>249.55070000000001</v>
      </c>
      <c r="AI41">
        <v>249.80019999999999</v>
      </c>
      <c r="AJ41">
        <v>250.05</v>
      </c>
      <c r="AK41">
        <v>250.3</v>
      </c>
      <c r="AL41">
        <v>250.55019999999999</v>
      </c>
      <c r="AM41">
        <v>250.80070000000001</v>
      </c>
      <c r="AN41">
        <v>251.0515</v>
      </c>
      <c r="AO41">
        <v>251.30250000000001</v>
      </c>
      <c r="AP41">
        <v>251.55369999999999</v>
      </c>
      <c r="AQ41">
        <v>251.80520000000001</v>
      </c>
      <c r="AR41">
        <v>252.05699999999999</v>
      </c>
      <c r="AS41">
        <v>252.309</v>
      </c>
      <c r="AT41">
        <v>252.56129999999999</v>
      </c>
      <c r="AU41">
        <v>252.81379999999999</v>
      </c>
      <c r="AV41">
        <v>253.06649999999999</v>
      </c>
      <c r="AW41">
        <v>253.31960000000001</v>
      </c>
      <c r="AX41">
        <v>253.5728</v>
      </c>
      <c r="AY41">
        <v>253.82640000000001</v>
      </c>
    </row>
    <row r="42" spans="6:51" x14ac:dyDescent="0.2">
      <c r="O42">
        <v>227.51490000000001</v>
      </c>
      <c r="P42">
        <v>227.7423</v>
      </c>
      <c r="Q42">
        <v>227.97</v>
      </c>
      <c r="R42">
        <v>228.19800000000001</v>
      </c>
      <c r="S42">
        <v>228.42609999999999</v>
      </c>
      <c r="T42">
        <v>228.65450000000001</v>
      </c>
      <c r="U42">
        <v>228.88310000000001</v>
      </c>
      <c r="V42">
        <v>229.11189999999999</v>
      </c>
      <c r="W42">
        <v>229.34100000000001</v>
      </c>
      <c r="X42">
        <v>229.5703</v>
      </c>
      <c r="Y42">
        <v>229.7998</v>
      </c>
      <c r="Z42">
        <v>230.02959999999999</v>
      </c>
      <c r="AA42">
        <v>230.25960000000001</v>
      </c>
      <c r="AB42">
        <v>230.4898</v>
      </c>
      <c r="AC42">
        <v>230.72030000000001</v>
      </c>
      <c r="AD42">
        <v>230.95089999999999</v>
      </c>
      <c r="AE42">
        <v>231.18180000000001</v>
      </c>
      <c r="AF42">
        <v>231.41300000000001</v>
      </c>
      <c r="AG42">
        <v>231.64429999999999</v>
      </c>
      <c r="AH42">
        <v>231.8759</v>
      </c>
      <c r="AI42">
        <v>232.1078</v>
      </c>
      <c r="AJ42">
        <v>232.3398</v>
      </c>
      <c r="AK42">
        <v>232.57210000000001</v>
      </c>
      <c r="AL42">
        <v>232.8047</v>
      </c>
      <c r="AM42">
        <v>233.03739999999999</v>
      </c>
      <c r="AN42">
        <v>233.2704</v>
      </c>
      <c r="AO42">
        <v>233.50370000000001</v>
      </c>
      <c r="AP42">
        <v>233.7371</v>
      </c>
      <c r="AQ42">
        <v>233.9708</v>
      </c>
      <c r="AR42">
        <v>234.2047</v>
      </c>
      <c r="AS42">
        <v>234.43889999999999</v>
      </c>
      <c r="AT42">
        <v>234.67330000000001</v>
      </c>
      <c r="AU42">
        <v>234.90790000000001</v>
      </c>
      <c r="AV42">
        <v>235.14279999999999</v>
      </c>
      <c r="AW42">
        <v>235.37790000000001</v>
      </c>
      <c r="AX42">
        <v>235.61320000000001</v>
      </c>
      <c r="AY42">
        <v>235.84880000000001</v>
      </c>
    </row>
    <row r="43" spans="6:51" x14ac:dyDescent="0.2">
      <c r="M43">
        <v>210.9787</v>
      </c>
      <c r="N43">
        <v>211.18969999999999</v>
      </c>
      <c r="O43">
        <v>211.4008</v>
      </c>
      <c r="P43">
        <v>211.6122</v>
      </c>
      <c r="Q43">
        <v>211.82380000000001</v>
      </c>
      <c r="R43">
        <v>212.03550000000001</v>
      </c>
      <c r="S43">
        <v>212.2475</v>
      </c>
      <c r="T43">
        <v>212.4598</v>
      </c>
      <c r="U43">
        <v>212.6722</v>
      </c>
      <c r="V43">
        <v>212.88480000000001</v>
      </c>
      <c r="W43">
        <v>213.0977</v>
      </c>
      <c r="X43">
        <v>213.3107</v>
      </c>
      <c r="Y43">
        <v>213.524</v>
      </c>
      <c r="Z43">
        <v>213.73750000000001</v>
      </c>
      <c r="AA43">
        <v>213.9512</v>
      </c>
      <c r="AB43">
        <v>214.1651</v>
      </c>
      <c r="AC43">
        <v>214.3792</v>
      </c>
      <c r="AD43">
        <v>214.59350000000001</v>
      </c>
      <c r="AE43">
        <v>214.8081</v>
      </c>
      <c r="AF43">
        <v>215.02289999999999</v>
      </c>
      <c r="AG43">
        <v>215.23779999999999</v>
      </c>
      <c r="AH43">
        <v>215.453</v>
      </c>
      <c r="AI43">
        <v>215.66849999999999</v>
      </c>
      <c r="AJ43">
        <v>215.88409999999999</v>
      </c>
      <c r="AK43">
        <v>216.09989999999999</v>
      </c>
      <c r="AL43">
        <v>216.316</v>
      </c>
      <c r="AM43">
        <v>216.53229999999999</v>
      </c>
      <c r="AN43">
        <v>216.74879999999999</v>
      </c>
      <c r="AO43">
        <v>216.96549999999999</v>
      </c>
      <c r="AP43">
        <v>217.1824</v>
      </c>
      <c r="AQ43">
        <v>217.39949999999999</v>
      </c>
      <c r="AR43">
        <v>217.61689999999999</v>
      </c>
      <c r="AS43">
        <v>217.83449999999999</v>
      </c>
      <c r="AT43">
        <v>218.0523</v>
      </c>
      <c r="AU43">
        <v>218.27029999999999</v>
      </c>
      <c r="AV43">
        <v>218.48849999999999</v>
      </c>
      <c r="AW43">
        <v>218.70699999999999</v>
      </c>
      <c r="AX43">
        <v>218.9256</v>
      </c>
      <c r="AY43">
        <v>219.14449999999999</v>
      </c>
    </row>
    <row r="44" spans="6:51" x14ac:dyDescent="0.2">
      <c r="K44">
        <v>195.64449999999999</v>
      </c>
      <c r="L44">
        <v>195.84010000000001</v>
      </c>
      <c r="M44">
        <v>196.0359</v>
      </c>
      <c r="N44">
        <v>196.2319</v>
      </c>
      <c r="O44">
        <v>196.4281</v>
      </c>
      <c r="P44">
        <v>196.62450000000001</v>
      </c>
      <c r="Q44">
        <v>196.8211</v>
      </c>
      <c r="R44">
        <v>197.0179</v>
      </c>
      <c r="S44">
        <v>197.2148</v>
      </c>
      <c r="T44">
        <v>197.41200000000001</v>
      </c>
      <c r="U44">
        <v>197.60939999999999</v>
      </c>
      <c r="V44">
        <v>197.80699999999999</v>
      </c>
      <c r="W44">
        <v>198.00470000000001</v>
      </c>
      <c r="X44">
        <v>198.20269999999999</v>
      </c>
      <c r="Y44">
        <v>198.40090000000001</v>
      </c>
      <c r="Z44">
        <v>198.5992</v>
      </c>
      <c r="AA44">
        <v>198.7978</v>
      </c>
      <c r="AB44">
        <v>198.9966</v>
      </c>
      <c r="AC44">
        <v>199.19550000000001</v>
      </c>
      <c r="AD44">
        <v>199.3947</v>
      </c>
      <c r="AE44">
        <v>199.59399999999999</v>
      </c>
      <c r="AF44">
        <v>199.7936</v>
      </c>
      <c r="AG44">
        <v>199.99340000000001</v>
      </c>
      <c r="AH44">
        <v>200.19329999999999</v>
      </c>
      <c r="AI44">
        <v>200.39349999999999</v>
      </c>
      <c r="AJ44">
        <v>200.59379999999999</v>
      </c>
      <c r="AK44">
        <v>200.7944</v>
      </c>
      <c r="AL44">
        <v>200.99510000000001</v>
      </c>
      <c r="AM44">
        <v>201.1961</v>
      </c>
      <c r="AN44">
        <v>201.3973</v>
      </c>
      <c r="AO44">
        <v>201.5986</v>
      </c>
      <c r="AP44">
        <v>201.80019999999999</v>
      </c>
      <c r="AQ44">
        <v>202.00190000000001</v>
      </c>
      <c r="AR44">
        <v>202.2039</v>
      </c>
      <c r="AS44">
        <v>202.40610000000001</v>
      </c>
      <c r="AT44">
        <v>202.60839999999999</v>
      </c>
      <c r="AU44">
        <v>202.81100000000001</v>
      </c>
      <c r="AV44">
        <v>203.0138</v>
      </c>
      <c r="AW44">
        <v>203.21680000000001</v>
      </c>
      <c r="AX44">
        <v>203.41990000000001</v>
      </c>
      <c r="AY44">
        <v>203.6233</v>
      </c>
    </row>
    <row r="45" spans="6:51" x14ac:dyDescent="0.2">
      <c r="I45">
        <v>181.4248</v>
      </c>
      <c r="J45">
        <v>181.6062</v>
      </c>
      <c r="K45">
        <v>181.7877</v>
      </c>
      <c r="L45">
        <v>181.96950000000001</v>
      </c>
      <c r="M45">
        <v>182.1514</v>
      </c>
      <c r="N45">
        <v>182.33349999999999</v>
      </c>
      <c r="O45">
        <v>182.51580000000001</v>
      </c>
      <c r="P45">
        <v>182.69829999999999</v>
      </c>
      <c r="Q45">
        <v>182.881</v>
      </c>
      <c r="R45">
        <v>183.06379999999999</v>
      </c>
      <c r="S45">
        <v>183.24690000000001</v>
      </c>
      <c r="T45">
        <v>183.43010000000001</v>
      </c>
      <c r="U45">
        <v>183.61349999999999</v>
      </c>
      <c r="V45">
        <v>183.797</v>
      </c>
      <c r="W45">
        <v>183.98079999999999</v>
      </c>
      <c r="X45">
        <v>184.16480000000001</v>
      </c>
      <c r="Y45">
        <v>184.34889999999999</v>
      </c>
      <c r="Z45">
        <v>184.53319999999999</v>
      </c>
      <c r="AA45">
        <v>184.71770000000001</v>
      </c>
      <c r="AB45">
        <v>184.9024</v>
      </c>
      <c r="AC45">
        <v>185.0872</v>
      </c>
      <c r="AD45">
        <v>185.2723</v>
      </c>
      <c r="AE45">
        <v>185.45750000000001</v>
      </c>
      <c r="AF45">
        <v>185.643</v>
      </c>
      <c r="AG45">
        <v>185.82859999999999</v>
      </c>
      <c r="AH45">
        <v>186.01439999999999</v>
      </c>
      <c r="AI45">
        <v>186.2003</v>
      </c>
      <c r="AJ45">
        <v>186.38650000000001</v>
      </c>
      <c r="AK45">
        <v>186.5729</v>
      </c>
      <c r="AL45">
        <v>186.7594</v>
      </c>
      <c r="AM45">
        <v>186.9461</v>
      </c>
      <c r="AN45">
        <v>187.13300000000001</v>
      </c>
      <c r="AO45">
        <v>187.3201</v>
      </c>
      <c r="AP45">
        <v>187.50739999999999</v>
      </c>
      <c r="AQ45">
        <v>187.69489999999999</v>
      </c>
      <c r="AR45">
        <v>187.8826</v>
      </c>
      <c r="AS45">
        <v>188.07040000000001</v>
      </c>
      <c r="AT45">
        <v>188.25839999999999</v>
      </c>
      <c r="AU45">
        <v>188.44669999999999</v>
      </c>
      <c r="AV45">
        <v>188.63509999999999</v>
      </c>
      <c r="AW45">
        <v>188.8237</v>
      </c>
      <c r="AX45">
        <v>189.01249999999999</v>
      </c>
      <c r="AY45">
        <v>189.20140000000001</v>
      </c>
    </row>
    <row r="46" spans="6:51" x14ac:dyDescent="0.2">
      <c r="H46">
        <v>168.4067</v>
      </c>
      <c r="I46">
        <v>168.57509999999999</v>
      </c>
      <c r="J46">
        <v>168.74369999999999</v>
      </c>
      <c r="K46">
        <v>168.91239999999999</v>
      </c>
      <c r="L46">
        <v>169.0813</v>
      </c>
      <c r="M46">
        <v>169.25030000000001</v>
      </c>
      <c r="N46">
        <v>169.4195</v>
      </c>
      <c r="O46">
        <v>169.5889</v>
      </c>
      <c r="P46">
        <v>169.7585</v>
      </c>
      <c r="Q46">
        <v>169.9282</v>
      </c>
      <c r="R46">
        <v>170.09809999999999</v>
      </c>
      <c r="S46">
        <v>170.26820000000001</v>
      </c>
      <c r="T46">
        <v>170.4384</v>
      </c>
      <c r="U46">
        <v>170.6088</v>
      </c>
      <c r="V46">
        <v>170.77940000000001</v>
      </c>
      <c r="W46">
        <v>170.95009999999999</v>
      </c>
      <c r="X46">
        <v>171.12110000000001</v>
      </c>
      <c r="Y46">
        <v>171.2921</v>
      </c>
      <c r="Z46">
        <v>171.46340000000001</v>
      </c>
      <c r="AA46">
        <v>171.63480000000001</v>
      </c>
      <c r="AB46">
        <v>171.8064</v>
      </c>
      <c r="AC46">
        <v>171.97819999999999</v>
      </c>
      <c r="AD46">
        <v>172.15020000000001</v>
      </c>
      <c r="AE46">
        <v>172.32230000000001</v>
      </c>
      <c r="AF46">
        <v>172.49459999999999</v>
      </c>
      <c r="AG46">
        <v>172.667</v>
      </c>
      <c r="AH46">
        <v>172.83969999999999</v>
      </c>
      <c r="AI46">
        <v>173.01249999999999</v>
      </c>
      <c r="AJ46">
        <v>173.18549999999999</v>
      </c>
      <c r="AK46">
        <v>173.3586</v>
      </c>
      <c r="AL46">
        <v>173.53190000000001</v>
      </c>
      <c r="AM46">
        <v>173.7054</v>
      </c>
      <c r="AN46">
        <v>173.87909999999999</v>
      </c>
      <c r="AO46">
        <v>174.053</v>
      </c>
      <c r="AP46">
        <v>174.227</v>
      </c>
      <c r="AQ46">
        <v>174.40119999999999</v>
      </c>
      <c r="AR46">
        <v>174.57550000000001</v>
      </c>
      <c r="AS46">
        <v>174.7501</v>
      </c>
      <c r="AT46">
        <v>174.9248</v>
      </c>
      <c r="AU46">
        <v>175.09970000000001</v>
      </c>
      <c r="AV46">
        <v>175.2748</v>
      </c>
      <c r="AW46">
        <v>175.45</v>
      </c>
      <c r="AX46">
        <v>175.62540000000001</v>
      </c>
      <c r="AY46">
        <v>175.80099999999999</v>
      </c>
    </row>
    <row r="47" spans="6:51" x14ac:dyDescent="0.2">
      <c r="G47">
        <v>156.3228</v>
      </c>
      <c r="H47">
        <v>156.47909999999999</v>
      </c>
      <c r="I47">
        <v>156.63560000000001</v>
      </c>
      <c r="J47">
        <v>156.79220000000001</v>
      </c>
      <c r="K47">
        <v>156.94890000000001</v>
      </c>
      <c r="L47">
        <v>157.10589999999999</v>
      </c>
      <c r="M47">
        <v>157.2629</v>
      </c>
      <c r="N47">
        <v>157.42019999999999</v>
      </c>
      <c r="O47">
        <v>157.57759999999999</v>
      </c>
      <c r="P47">
        <v>157.73509999999999</v>
      </c>
      <c r="Q47">
        <v>157.89279999999999</v>
      </c>
      <c r="R47">
        <v>158.05070000000001</v>
      </c>
      <c r="S47">
        <v>158.20869999999999</v>
      </c>
      <c r="T47">
        <v>158.36689999999999</v>
      </c>
      <c r="U47">
        <v>158.52520000000001</v>
      </c>
      <c r="V47">
        <v>158.68369999999999</v>
      </c>
      <c r="W47">
        <v>158.8424</v>
      </c>
      <c r="X47">
        <v>159.00120000000001</v>
      </c>
      <c r="Y47">
        <v>159.1602</v>
      </c>
      <c r="Z47">
        <v>159.3193</v>
      </c>
      <c r="AA47">
        <v>159.4786</v>
      </c>
      <c r="AB47">
        <v>159.63800000000001</v>
      </c>
      <c r="AC47">
        <v>159.79759999999999</v>
      </c>
      <c r="AD47">
        <v>159.95740000000001</v>
      </c>
      <c r="AE47">
        <v>160.1173</v>
      </c>
      <c r="AF47">
        <v>160.2774</v>
      </c>
      <c r="AG47">
        <v>160.43770000000001</v>
      </c>
      <c r="AH47">
        <v>160.59809999999999</v>
      </c>
      <c r="AI47">
        <v>160.7586</v>
      </c>
      <c r="AJ47">
        <v>160.9194</v>
      </c>
      <c r="AK47">
        <v>161.08029999999999</v>
      </c>
      <c r="AL47">
        <v>161.2413</v>
      </c>
      <c r="AM47">
        <v>161.4025</v>
      </c>
      <c r="AN47">
        <v>161.56389999999999</v>
      </c>
      <c r="AO47">
        <v>161.72540000000001</v>
      </c>
      <c r="AP47">
        <v>161.8871</v>
      </c>
      <c r="AQ47">
        <v>162.04900000000001</v>
      </c>
      <c r="AR47">
        <v>162.21100000000001</v>
      </c>
      <c r="AS47">
        <v>162.3732</v>
      </c>
      <c r="AT47">
        <v>162.53550000000001</v>
      </c>
      <c r="AU47">
        <v>162.69800000000001</v>
      </c>
      <c r="AV47">
        <v>162.86070000000001</v>
      </c>
      <c r="AW47">
        <v>163.02350000000001</v>
      </c>
      <c r="AX47">
        <v>163.1865</v>
      </c>
      <c r="AY47">
        <v>163.34970000000001</v>
      </c>
    </row>
    <row r="48" spans="6:51" x14ac:dyDescent="0.2">
      <c r="F48">
        <v>145.10599999999999</v>
      </c>
      <c r="G48">
        <v>145.25110000000001</v>
      </c>
      <c r="H48">
        <v>145.3963</v>
      </c>
      <c r="I48">
        <v>145.54169999999999</v>
      </c>
      <c r="J48">
        <v>145.68719999999999</v>
      </c>
      <c r="K48">
        <v>145.83279999999999</v>
      </c>
      <c r="L48">
        <v>145.9786</v>
      </c>
      <c r="M48">
        <v>146.12459999999999</v>
      </c>
      <c r="N48">
        <v>146.27070000000001</v>
      </c>
      <c r="O48">
        <v>146.4169</v>
      </c>
      <c r="P48">
        <v>146.5633</v>
      </c>
      <c r="Q48">
        <v>146.7099</v>
      </c>
      <c r="R48">
        <v>146.85650000000001</v>
      </c>
      <c r="S48">
        <v>147.0034</v>
      </c>
      <c r="T48">
        <v>147.15039999999999</v>
      </c>
      <c r="U48">
        <v>147.29750000000001</v>
      </c>
      <c r="V48">
        <v>147.44470000000001</v>
      </c>
      <c r="W48">
        <v>147.59219999999999</v>
      </c>
      <c r="X48">
        <v>147.7397</v>
      </c>
      <c r="Y48">
        <v>147.88740000000001</v>
      </c>
      <c r="Z48">
        <v>148.03530000000001</v>
      </c>
      <c r="AA48">
        <v>148.1833</v>
      </c>
      <c r="AB48">
        <v>148.33150000000001</v>
      </c>
      <c r="AC48">
        <v>148.47980000000001</v>
      </c>
      <c r="AD48">
        <v>148.62819999999999</v>
      </c>
      <c r="AE48">
        <v>148.77680000000001</v>
      </c>
      <c r="AF48">
        <v>148.9256</v>
      </c>
      <c r="AG48">
        <v>149.0745</v>
      </c>
      <c r="AH48">
        <v>149.2235</v>
      </c>
      <c r="AI48">
        <v>149.37270000000001</v>
      </c>
      <c r="AJ48">
        <v>149.52209999999999</v>
      </c>
      <c r="AK48">
        <v>149.67160000000001</v>
      </c>
      <c r="AL48">
        <v>149.8212</v>
      </c>
      <c r="AM48">
        <v>149.971</v>
      </c>
      <c r="AN48">
        <v>150.12090000000001</v>
      </c>
      <c r="AO48">
        <v>150.27099999999999</v>
      </c>
      <c r="AP48">
        <v>150.4213</v>
      </c>
      <c r="AQ48">
        <v>150.57169999999999</v>
      </c>
      <c r="AR48">
        <v>150.72219999999999</v>
      </c>
      <c r="AS48">
        <v>150.87289999999999</v>
      </c>
      <c r="AT48">
        <v>151.02369999999999</v>
      </c>
      <c r="AU48">
        <v>151.1747</v>
      </c>
      <c r="AV48">
        <v>151.32589999999999</v>
      </c>
      <c r="AW48">
        <v>151.47720000000001</v>
      </c>
      <c r="AX48">
        <v>151.62860000000001</v>
      </c>
      <c r="AY48">
        <v>151.78020000000001</v>
      </c>
    </row>
    <row r="49" spans="1:51" x14ac:dyDescent="0.2">
      <c r="E49">
        <v>134.69399999999999</v>
      </c>
      <c r="F49">
        <v>134.8287</v>
      </c>
      <c r="G49">
        <v>134.96350000000001</v>
      </c>
      <c r="H49">
        <v>135.0984</v>
      </c>
      <c r="I49">
        <v>135.23349999999999</v>
      </c>
      <c r="J49">
        <v>135.36869999999999</v>
      </c>
      <c r="K49">
        <v>135.50399999999999</v>
      </c>
      <c r="L49">
        <v>135.6395</v>
      </c>
      <c r="M49">
        <v>135.77510000000001</v>
      </c>
      <c r="N49">
        <v>135.9109</v>
      </c>
      <c r="O49">
        <v>136.04679999999999</v>
      </c>
      <c r="P49">
        <v>136.18279999999999</v>
      </c>
      <c r="Q49">
        <v>136.31899999999999</v>
      </c>
      <c r="R49">
        <v>136.45519999999999</v>
      </c>
      <c r="S49">
        <v>136.5917</v>
      </c>
      <c r="T49">
        <v>136.72819999999999</v>
      </c>
      <c r="U49">
        <v>136.86490000000001</v>
      </c>
      <c r="V49">
        <v>137.0018</v>
      </c>
      <c r="W49">
        <v>137.1388</v>
      </c>
      <c r="X49">
        <v>137.27590000000001</v>
      </c>
      <c r="Y49">
        <v>137.41309999999999</v>
      </c>
      <c r="Z49">
        <v>137.5505</v>
      </c>
      <c r="AA49">
        <v>137.68799999999999</v>
      </c>
      <c r="AB49">
        <v>137.82570000000001</v>
      </c>
      <c r="AC49">
        <v>137.96350000000001</v>
      </c>
      <c r="AD49">
        <v>138.10140000000001</v>
      </c>
      <c r="AE49">
        <v>138.23949999999999</v>
      </c>
      <c r="AF49">
        <v>138.3777</v>
      </c>
      <c r="AG49">
        <v>138.51609999999999</v>
      </c>
      <c r="AH49">
        <v>138.65459999999999</v>
      </c>
      <c r="AI49">
        <v>138.79320000000001</v>
      </c>
      <c r="AJ49">
        <v>138.93199999999999</v>
      </c>
      <c r="AK49">
        <v>139.07089999999999</v>
      </c>
      <c r="AL49">
        <v>139.2099</v>
      </c>
      <c r="AM49">
        <v>139.34909999999999</v>
      </c>
      <c r="AN49">
        <v>139.48840000000001</v>
      </c>
      <c r="AO49">
        <v>139.62790000000001</v>
      </c>
      <c r="AP49">
        <v>139.76750000000001</v>
      </c>
      <c r="AQ49">
        <v>139.90719999999999</v>
      </c>
      <c r="AR49">
        <v>140.0471</v>
      </c>
      <c r="AS49">
        <v>140.18709999999999</v>
      </c>
      <c r="AT49">
        <v>140.32730000000001</v>
      </c>
      <c r="AU49">
        <v>140.4676</v>
      </c>
      <c r="AV49">
        <v>140.608</v>
      </c>
      <c r="AW49">
        <v>140.74860000000001</v>
      </c>
      <c r="AX49">
        <v>140.88929999999999</v>
      </c>
      <c r="AY49">
        <v>141.03020000000001</v>
      </c>
    </row>
    <row r="50" spans="1:51" x14ac:dyDescent="0.2">
      <c r="D50">
        <v>125.0291</v>
      </c>
      <c r="E50">
        <v>125.1541</v>
      </c>
      <c r="F50">
        <v>125.27930000000001</v>
      </c>
      <c r="G50">
        <v>125.4045</v>
      </c>
      <c r="H50">
        <v>125.5299</v>
      </c>
      <c r="I50">
        <v>125.6554</v>
      </c>
      <c r="J50">
        <v>125.78100000000001</v>
      </c>
      <c r="K50">
        <v>125.9068</v>
      </c>
      <c r="L50">
        <v>126.03270000000001</v>
      </c>
      <c r="M50">
        <v>126.1587</v>
      </c>
      <c r="N50">
        <v>126.2848</v>
      </c>
      <c r="O50">
        <v>126.4111</v>
      </c>
      <c r="P50">
        <v>126.53749999999999</v>
      </c>
      <c r="Q50">
        <v>126.664</v>
      </c>
      <c r="R50">
        <v>126.7906</v>
      </c>
      <c r="S50">
        <v>126.9174</v>
      </c>
      <c r="T50">
        <v>127.04430000000001</v>
      </c>
      <c r="U50">
        <v>127.1713</v>
      </c>
      <c r="V50">
        <v>127.2985</v>
      </c>
      <c r="W50">
        <v>127.42570000000001</v>
      </c>
      <c r="X50">
        <v>127.5531</v>
      </c>
      <c r="Y50">
        <v>127.6807</v>
      </c>
      <c r="Z50">
        <v>127.8083</v>
      </c>
      <c r="AA50">
        <v>127.9361</v>
      </c>
      <c r="AB50">
        <v>128.06399999999999</v>
      </c>
      <c r="AC50">
        <v>128.19210000000001</v>
      </c>
      <c r="AD50">
        <v>128.3202</v>
      </c>
      <c r="AE50">
        <v>128.4485</v>
      </c>
      <c r="AF50">
        <v>128.577</v>
      </c>
      <c r="AG50">
        <v>128.7055</v>
      </c>
      <c r="AH50">
        <v>128.83420000000001</v>
      </c>
      <c r="AI50">
        <v>128.96299999999999</v>
      </c>
      <c r="AJ50">
        <v>129.09190000000001</v>
      </c>
      <c r="AK50">
        <v>129.221</v>
      </c>
      <c r="AL50">
        <v>129.3502</v>
      </c>
      <c r="AM50">
        <v>129.4795</v>
      </c>
      <c r="AN50">
        <v>129.60900000000001</v>
      </c>
      <c r="AO50">
        <v>129.73859999999999</v>
      </c>
      <c r="AP50">
        <v>129.8683</v>
      </c>
      <c r="AQ50">
        <v>129.99809999999999</v>
      </c>
      <c r="AR50">
        <v>130.12809999999999</v>
      </c>
      <c r="AS50">
        <v>130.25819999999999</v>
      </c>
      <c r="AT50">
        <v>130.38839999999999</v>
      </c>
      <c r="AU50">
        <v>130.5188</v>
      </c>
      <c r="AV50">
        <v>130.64930000000001</v>
      </c>
      <c r="AW50">
        <v>130.7799</v>
      </c>
      <c r="AX50">
        <v>130.91069999999999</v>
      </c>
      <c r="AY50">
        <v>131.04159999999999</v>
      </c>
    </row>
    <row r="51" spans="1:51" x14ac:dyDescent="0.2">
      <c r="C51">
        <v>116.0577</v>
      </c>
      <c r="D51">
        <v>116.1738</v>
      </c>
      <c r="E51">
        <v>116.2899</v>
      </c>
      <c r="F51">
        <v>116.4062</v>
      </c>
      <c r="G51">
        <v>116.5226</v>
      </c>
      <c r="H51">
        <v>116.6391</v>
      </c>
      <c r="I51">
        <v>116.7557</v>
      </c>
      <c r="J51">
        <v>116.8724</v>
      </c>
      <c r="K51">
        <v>116.9893</v>
      </c>
      <c r="L51">
        <v>117.1063</v>
      </c>
      <c r="M51">
        <v>117.22329999999999</v>
      </c>
      <c r="N51">
        <v>117.34050000000001</v>
      </c>
      <c r="O51">
        <v>117.4579</v>
      </c>
      <c r="P51">
        <v>117.5753</v>
      </c>
      <c r="Q51">
        <v>117.69289999999999</v>
      </c>
      <c r="R51">
        <v>117.8105</v>
      </c>
      <c r="S51">
        <v>117.92829999999999</v>
      </c>
      <c r="T51">
        <v>118.0462</v>
      </c>
      <c r="U51">
        <v>118.16419999999999</v>
      </c>
      <c r="V51">
        <v>118.2824</v>
      </c>
      <c r="W51">
        <v>118.4006</v>
      </c>
      <c r="X51">
        <v>118.51900000000001</v>
      </c>
      <c r="Y51">
        <v>118.6375</v>
      </c>
      <c r="Z51">
        <v>118.7561</v>
      </c>
      <c r="AA51">
        <v>118.8749</v>
      </c>
      <c r="AB51">
        <v>118.9937</v>
      </c>
      <c r="AC51">
        <v>119.1127</v>
      </c>
      <c r="AD51">
        <v>119.23180000000001</v>
      </c>
      <c r="AE51">
        <v>119.351</v>
      </c>
      <c r="AF51">
        <v>119.47029999999999</v>
      </c>
      <c r="AG51">
        <v>119.5898</v>
      </c>
      <c r="AH51">
        <v>119.7093</v>
      </c>
      <c r="AI51">
        <v>119.82899999999999</v>
      </c>
      <c r="AJ51">
        <v>119.94880000000001</v>
      </c>
      <c r="AK51">
        <v>120.0688</v>
      </c>
      <c r="AL51">
        <v>120.1888</v>
      </c>
      <c r="AM51">
        <v>120.309</v>
      </c>
      <c r="AN51">
        <v>120.4293</v>
      </c>
      <c r="AO51">
        <v>120.5497</v>
      </c>
      <c r="AP51">
        <v>120.67019999999999</v>
      </c>
      <c r="AQ51">
        <v>120.7908</v>
      </c>
      <c r="AR51">
        <v>120.91160000000001</v>
      </c>
      <c r="AS51">
        <v>121.0325</v>
      </c>
      <c r="AT51">
        <v>121.15349999999999</v>
      </c>
      <c r="AU51">
        <v>121.27460000000001</v>
      </c>
      <c r="AV51">
        <v>121.3959</v>
      </c>
      <c r="AW51">
        <v>121.51730000000001</v>
      </c>
      <c r="AX51">
        <v>121.6388</v>
      </c>
      <c r="AY51">
        <v>121.7604</v>
      </c>
    </row>
    <row r="52" spans="1:51" x14ac:dyDescent="0.2">
      <c r="B52">
        <v>107.73009999999999</v>
      </c>
      <c r="C52">
        <v>107.8378</v>
      </c>
      <c r="D52">
        <v>107.9456</v>
      </c>
      <c r="E52">
        <v>108.0536</v>
      </c>
      <c r="F52">
        <v>108.16160000000001</v>
      </c>
      <c r="G52">
        <v>108.2697</v>
      </c>
      <c r="H52">
        <v>108.378</v>
      </c>
      <c r="I52">
        <v>108.4863</v>
      </c>
      <c r="J52">
        <v>108.59480000000001</v>
      </c>
      <c r="K52">
        <v>108.7034</v>
      </c>
      <c r="L52">
        <v>108.8121</v>
      </c>
      <c r="M52">
        <v>108.9209</v>
      </c>
      <c r="N52">
        <v>109.02979999999999</v>
      </c>
      <c r="O52">
        <v>109.1388</v>
      </c>
      <c r="P52">
        <v>109.2479</v>
      </c>
      <c r="Q52">
        <v>109.3571</v>
      </c>
      <c r="R52">
        <v>109.46639999999999</v>
      </c>
      <c r="S52">
        <v>109.5759</v>
      </c>
      <c r="T52">
        <v>109.6854</v>
      </c>
      <c r="U52">
        <v>109.79510000000001</v>
      </c>
      <c r="V52">
        <v>109.9049</v>
      </c>
      <c r="W52">
        <v>110.01479999999999</v>
      </c>
      <c r="X52">
        <v>110.12479999999999</v>
      </c>
      <c r="Y52">
        <v>110.2349</v>
      </c>
      <c r="Z52">
        <v>110.3451</v>
      </c>
      <c r="AA52">
        <v>110.4554</v>
      </c>
      <c r="AB52">
        <v>110.5658</v>
      </c>
      <c r="AC52">
        <v>110.6764</v>
      </c>
      <c r="AD52">
        <v>110.78700000000001</v>
      </c>
      <c r="AE52">
        <v>110.8978</v>
      </c>
      <c r="AF52">
        <v>111.0087</v>
      </c>
      <c r="AG52">
        <v>111.11969999999999</v>
      </c>
      <c r="AH52">
        <v>111.2308</v>
      </c>
      <c r="AI52">
        <v>111.342</v>
      </c>
      <c r="AJ52">
        <v>111.4533</v>
      </c>
      <c r="AK52">
        <v>111.5647</v>
      </c>
      <c r="AL52">
        <v>111.6763</v>
      </c>
      <c r="AM52">
        <v>111.78789999999999</v>
      </c>
      <c r="AN52">
        <v>111.8997</v>
      </c>
      <c r="AO52">
        <v>112.0116</v>
      </c>
      <c r="AP52">
        <v>112.1236</v>
      </c>
      <c r="AQ52">
        <v>112.23569999999999</v>
      </c>
      <c r="AR52">
        <v>112.3479</v>
      </c>
      <c r="AS52">
        <v>112.4602</v>
      </c>
      <c r="AT52">
        <v>112.5727</v>
      </c>
      <c r="AU52">
        <v>112.68519999999999</v>
      </c>
      <c r="AV52">
        <v>112.7979</v>
      </c>
      <c r="AW52">
        <v>112.91070000000001</v>
      </c>
      <c r="AX52">
        <v>113.0235</v>
      </c>
      <c r="AY52">
        <v>113.1366</v>
      </c>
    </row>
    <row r="53" spans="1:51" x14ac:dyDescent="0.2">
      <c r="A53">
        <v>100</v>
      </c>
      <c r="B53">
        <v>100.1</v>
      </c>
      <c r="C53">
        <v>100.20010000000001</v>
      </c>
      <c r="D53">
        <v>100.3002</v>
      </c>
      <c r="E53">
        <v>100.40049999999999</v>
      </c>
      <c r="F53">
        <v>100.5009</v>
      </c>
      <c r="G53">
        <v>100.6014</v>
      </c>
      <c r="H53">
        <v>100.702</v>
      </c>
      <c r="I53">
        <v>100.8027</v>
      </c>
      <c r="J53">
        <v>100.9034</v>
      </c>
      <c r="K53">
        <v>101.0043</v>
      </c>
      <c r="L53">
        <v>101.1053</v>
      </c>
      <c r="M53">
        <v>101.2064</v>
      </c>
      <c r="N53">
        <v>101.30759999999999</v>
      </c>
      <c r="O53">
        <v>101.4089</v>
      </c>
      <c r="P53">
        <v>101.5103</v>
      </c>
      <c r="Q53">
        <v>101.6118</v>
      </c>
      <c r="R53">
        <v>101.7133</v>
      </c>
      <c r="S53">
        <v>101.815</v>
      </c>
      <c r="T53">
        <v>101.91679999999999</v>
      </c>
      <c r="U53">
        <v>102.0187</v>
      </c>
      <c r="V53">
        <v>102.1207</v>
      </c>
      <c r="W53">
        <v>102.22280000000001</v>
      </c>
      <c r="X53">
        <v>102.325</v>
      </c>
      <c r="Y53">
        <v>102.4273</v>
      </c>
      <c r="Z53">
        <v>102.52979999999999</v>
      </c>
      <c r="AA53">
        <v>102.6323</v>
      </c>
      <c r="AB53">
        <v>102.7349</v>
      </c>
      <c r="AC53">
        <v>102.83759999999999</v>
      </c>
      <c r="AD53">
        <v>102.9404</v>
      </c>
      <c r="AE53">
        <v>103.0433</v>
      </c>
      <c r="AF53">
        <v>103.1464</v>
      </c>
      <c r="AG53">
        <v>103.2495</v>
      </c>
      <c r="AH53">
        <v>103.3527</v>
      </c>
      <c r="AI53">
        <v>103.45610000000001</v>
      </c>
      <c r="AJ53">
        <v>103.5595</v>
      </c>
      <c r="AK53">
        <v>103.663</v>
      </c>
      <c r="AL53">
        <v>103.7667</v>
      </c>
      <c r="AM53">
        <v>103.8704</v>
      </c>
      <c r="AN53">
        <v>103.9743</v>
      </c>
      <c r="AO53">
        <v>104.0782</v>
      </c>
      <c r="AP53">
        <v>104.1823</v>
      </c>
      <c r="AQ53">
        <v>104.2864</v>
      </c>
      <c r="AR53">
        <v>104.3907</v>
      </c>
      <c r="AS53">
        <v>104.49509999999999</v>
      </c>
      <c r="AT53">
        <v>104.5996</v>
      </c>
      <c r="AU53">
        <v>104.7041</v>
      </c>
      <c r="AV53">
        <v>104.80880000000001</v>
      </c>
      <c r="AW53">
        <v>104.9136</v>
      </c>
      <c r="AX53">
        <v>105.0185</v>
      </c>
      <c r="AY53">
        <v>105.12350000000001</v>
      </c>
    </row>
    <row r="54" spans="1:51" x14ac:dyDescent="0.2">
      <c r="B54">
        <v>93.010300000000001</v>
      </c>
      <c r="C54">
        <v>93.103300000000004</v>
      </c>
      <c r="D54">
        <v>93.196399999999997</v>
      </c>
      <c r="E54">
        <v>93.289500000000004</v>
      </c>
      <c r="F54">
        <v>93.382800000000003</v>
      </c>
      <c r="G54">
        <v>93.476200000000006</v>
      </c>
      <c r="H54">
        <v>93.569599999999994</v>
      </c>
      <c r="I54">
        <v>93.663200000000003</v>
      </c>
      <c r="J54">
        <v>93.756799999999998</v>
      </c>
      <c r="K54">
        <v>93.8506</v>
      </c>
      <c r="L54">
        <v>93.944400000000002</v>
      </c>
      <c r="M54">
        <v>94.038300000000007</v>
      </c>
      <c r="N54">
        <v>94.132300000000001</v>
      </c>
      <c r="O54">
        <v>94.226500000000001</v>
      </c>
      <c r="P54">
        <v>94.320700000000002</v>
      </c>
      <c r="Q54">
        <v>94.415000000000006</v>
      </c>
      <c r="R54">
        <v>94.509399999999999</v>
      </c>
      <c r="S54">
        <v>94.603899999999996</v>
      </c>
      <c r="T54">
        <v>94.698499999999996</v>
      </c>
      <c r="U54">
        <v>94.793099999999995</v>
      </c>
      <c r="V54">
        <v>94.887900000000002</v>
      </c>
      <c r="W54">
        <v>94.982799999999997</v>
      </c>
      <c r="X54">
        <v>95.077699999999993</v>
      </c>
      <c r="Y54">
        <v>95.172799999999995</v>
      </c>
      <c r="Z54">
        <v>95.268000000000001</v>
      </c>
      <c r="AA54">
        <v>95.363200000000006</v>
      </c>
      <c r="AB54">
        <v>95.458600000000004</v>
      </c>
      <c r="AC54">
        <v>95.554000000000002</v>
      </c>
      <c r="AD54">
        <v>95.649500000000003</v>
      </c>
      <c r="AE54">
        <v>95.745199999999997</v>
      </c>
      <c r="AF54">
        <v>95.840900000000005</v>
      </c>
      <c r="AG54">
        <v>95.936700000000002</v>
      </c>
      <c r="AH54">
        <v>96.032600000000002</v>
      </c>
      <c r="AI54">
        <v>96.128600000000006</v>
      </c>
      <c r="AJ54">
        <v>96.224800000000002</v>
      </c>
      <c r="AK54">
        <v>96.320999999999998</v>
      </c>
      <c r="AL54">
        <v>96.417299999999997</v>
      </c>
      <c r="AM54">
        <v>96.5137</v>
      </c>
      <c r="AN54">
        <v>96.610200000000006</v>
      </c>
      <c r="AO54">
        <v>96.706800000000001</v>
      </c>
      <c r="AP54">
        <v>96.803399999999996</v>
      </c>
      <c r="AQ54">
        <v>96.900199999999998</v>
      </c>
      <c r="AR54">
        <v>96.997100000000003</v>
      </c>
      <c r="AS54">
        <v>97.094099999999997</v>
      </c>
      <c r="AT54">
        <v>97.191199999999995</v>
      </c>
      <c r="AU54">
        <v>97.288300000000007</v>
      </c>
      <c r="AV54">
        <v>97.385599999999997</v>
      </c>
      <c r="AW54">
        <v>97.483000000000004</v>
      </c>
      <c r="AX54">
        <v>97.580399999999997</v>
      </c>
      <c r="AY54">
        <v>97.677999999999997</v>
      </c>
    </row>
    <row r="55" spans="1:51" x14ac:dyDescent="0.2">
      <c r="C55">
        <v>86.509100000000004</v>
      </c>
      <c r="D55">
        <v>86.595600000000005</v>
      </c>
      <c r="E55">
        <v>86.682199999999995</v>
      </c>
      <c r="F55">
        <v>86.768799999999999</v>
      </c>
      <c r="G55">
        <v>86.855599999999995</v>
      </c>
      <c r="H55">
        <v>86.942400000000006</v>
      </c>
      <c r="I55">
        <v>87.029399999999995</v>
      </c>
      <c r="J55">
        <v>87.116399999999999</v>
      </c>
      <c r="K55">
        <v>87.203500000000005</v>
      </c>
      <c r="L55">
        <v>87.290700000000001</v>
      </c>
      <c r="M55">
        <v>87.377899999999997</v>
      </c>
      <c r="N55">
        <v>87.465299999999999</v>
      </c>
      <c r="O55">
        <v>87.552800000000005</v>
      </c>
      <c r="P55">
        <v>87.640299999999996</v>
      </c>
      <c r="Q55">
        <v>87.727900000000005</v>
      </c>
      <c r="R55">
        <v>87.815600000000003</v>
      </c>
      <c r="S55">
        <v>87.903400000000005</v>
      </c>
      <c r="T55">
        <v>87.991299999999995</v>
      </c>
      <c r="U55">
        <v>88.079300000000003</v>
      </c>
      <c r="V55">
        <v>88.167400000000001</v>
      </c>
      <c r="W55">
        <v>88.255499999999998</v>
      </c>
      <c r="X55">
        <v>88.343699999999998</v>
      </c>
      <c r="Y55">
        <v>88.432100000000005</v>
      </c>
      <c r="Z55">
        <v>88.520499999999998</v>
      </c>
      <c r="AA55">
        <v>88.608999999999995</v>
      </c>
      <c r="AB55">
        <v>88.697599999999994</v>
      </c>
      <c r="AC55">
        <v>88.786299999999997</v>
      </c>
      <c r="AD55">
        <v>88.875</v>
      </c>
      <c r="AE55">
        <v>88.963899999999995</v>
      </c>
      <c r="AF55">
        <v>89.052800000000005</v>
      </c>
      <c r="AG55">
        <v>89.141900000000007</v>
      </c>
      <c r="AH55">
        <v>89.230999999999995</v>
      </c>
      <c r="AI55">
        <v>89.3202</v>
      </c>
      <c r="AJ55">
        <v>89.409499999999994</v>
      </c>
      <c r="AK55">
        <v>89.498900000000006</v>
      </c>
      <c r="AL55">
        <v>89.588399999999993</v>
      </c>
      <c r="AM55">
        <v>89.677999999999997</v>
      </c>
      <c r="AN55">
        <v>89.767600000000002</v>
      </c>
      <c r="AO55">
        <v>89.857399999999998</v>
      </c>
      <c r="AP55">
        <v>89.947199999999995</v>
      </c>
      <c r="AQ55">
        <v>90.037099999999995</v>
      </c>
      <c r="AR55">
        <v>90.127200000000002</v>
      </c>
      <c r="AS55">
        <v>90.217299999999994</v>
      </c>
      <c r="AT55">
        <v>90.307500000000005</v>
      </c>
      <c r="AU55">
        <v>90.397800000000004</v>
      </c>
      <c r="AV55">
        <v>90.488200000000006</v>
      </c>
      <c r="AW55">
        <v>90.578599999999994</v>
      </c>
      <c r="AX55">
        <v>90.669200000000004</v>
      </c>
      <c r="AY55">
        <v>90.759799999999998</v>
      </c>
    </row>
    <row r="56" spans="1:51" x14ac:dyDescent="0.2">
      <c r="D56">
        <v>80.462400000000002</v>
      </c>
      <c r="E56">
        <v>80.5428</v>
      </c>
      <c r="F56">
        <v>80.6233</v>
      </c>
      <c r="G56">
        <v>80.703900000000004</v>
      </c>
      <c r="H56">
        <v>80.784599999999998</v>
      </c>
      <c r="I56">
        <v>80.865399999999994</v>
      </c>
      <c r="J56">
        <v>80.946299999999994</v>
      </c>
      <c r="K56">
        <v>81.027199999999993</v>
      </c>
      <c r="L56">
        <v>81.108199999999997</v>
      </c>
      <c r="M56">
        <v>81.189300000000003</v>
      </c>
      <c r="N56">
        <v>81.270499999999998</v>
      </c>
      <c r="O56">
        <v>81.351699999999994</v>
      </c>
      <c r="P56">
        <v>81.433099999999996</v>
      </c>
      <c r="Q56">
        <v>81.514499999999998</v>
      </c>
      <c r="R56">
        <v>81.596000000000004</v>
      </c>
      <c r="S56">
        <v>81.677599999999998</v>
      </c>
      <c r="T56">
        <v>81.759200000000007</v>
      </c>
      <c r="U56">
        <v>81.840999999999994</v>
      </c>
      <c r="V56">
        <v>81.922799999999995</v>
      </c>
      <c r="W56">
        <v>82.0047</v>
      </c>
      <c r="X56">
        <v>82.086699999999993</v>
      </c>
      <c r="Y56">
        <v>82.168800000000005</v>
      </c>
      <c r="Z56">
        <v>82.250900000000001</v>
      </c>
      <c r="AA56">
        <v>82.333100000000002</v>
      </c>
      <c r="AB56">
        <v>82.415499999999994</v>
      </c>
      <c r="AC56">
        <v>82.497900000000001</v>
      </c>
      <c r="AD56">
        <v>82.580299999999994</v>
      </c>
      <c r="AE56">
        <v>82.662899999999993</v>
      </c>
      <c r="AF56">
        <v>82.745599999999996</v>
      </c>
      <c r="AG56">
        <v>82.828299999999999</v>
      </c>
      <c r="AH56">
        <v>82.911100000000005</v>
      </c>
      <c r="AI56">
        <v>82.994</v>
      </c>
      <c r="AJ56">
        <v>83.076999999999998</v>
      </c>
      <c r="AK56">
        <v>83.16</v>
      </c>
      <c r="AL56">
        <v>83.243200000000002</v>
      </c>
      <c r="AM56">
        <v>83.326400000000007</v>
      </c>
      <c r="AN56">
        <v>83.409700000000001</v>
      </c>
      <c r="AO56">
        <v>83.493099999999998</v>
      </c>
      <c r="AP56">
        <v>83.576599999999999</v>
      </c>
      <c r="AQ56">
        <v>83.660200000000003</v>
      </c>
      <c r="AR56">
        <v>83.743799999999993</v>
      </c>
      <c r="AS56">
        <v>83.827500000000001</v>
      </c>
      <c r="AT56">
        <v>83.911299999999997</v>
      </c>
      <c r="AU56">
        <v>83.995199999999997</v>
      </c>
      <c r="AV56">
        <v>84.0792</v>
      </c>
      <c r="AW56">
        <v>84.163300000000007</v>
      </c>
      <c r="AX56">
        <v>84.247399999999999</v>
      </c>
      <c r="AY56">
        <v>84.331699999999998</v>
      </c>
    </row>
    <row r="57" spans="1:51" x14ac:dyDescent="0.2">
      <c r="E57">
        <v>74.838300000000004</v>
      </c>
      <c r="F57">
        <v>74.9131</v>
      </c>
      <c r="G57">
        <v>74.988</v>
      </c>
      <c r="H57">
        <v>75.063000000000002</v>
      </c>
      <c r="I57">
        <v>75.138000000000005</v>
      </c>
      <c r="J57">
        <v>75.213099999999997</v>
      </c>
      <c r="K57">
        <v>75.288300000000007</v>
      </c>
      <c r="L57">
        <v>75.363600000000005</v>
      </c>
      <c r="M57">
        <v>75.438999999999993</v>
      </c>
      <c r="N57">
        <v>75.514399999999995</v>
      </c>
      <c r="O57">
        <v>75.5899</v>
      </c>
      <c r="P57">
        <v>75.665499999999994</v>
      </c>
      <c r="Q57">
        <v>75.741100000000003</v>
      </c>
      <c r="R57">
        <v>75.816800000000001</v>
      </c>
      <c r="S57">
        <v>75.892600000000002</v>
      </c>
      <c r="T57">
        <v>75.968500000000006</v>
      </c>
      <c r="U57">
        <v>76.044499999999999</v>
      </c>
      <c r="V57">
        <v>76.120500000000007</v>
      </c>
      <c r="W57">
        <v>76.196600000000004</v>
      </c>
      <c r="X57">
        <v>76.272800000000004</v>
      </c>
      <c r="Y57">
        <v>76.349100000000007</v>
      </c>
      <c r="Z57">
        <v>76.425399999999996</v>
      </c>
      <c r="AA57">
        <v>76.501800000000003</v>
      </c>
      <c r="AB57">
        <v>76.578299999999999</v>
      </c>
      <c r="AC57">
        <v>76.654799999999994</v>
      </c>
      <c r="AD57">
        <v>76.731499999999997</v>
      </c>
      <c r="AE57">
        <v>76.808199999999999</v>
      </c>
      <c r="AF57">
        <v>76.885000000000005</v>
      </c>
      <c r="AG57">
        <v>76.9619</v>
      </c>
      <c r="AH57">
        <v>77.038799999999995</v>
      </c>
      <c r="AI57">
        <v>77.115799999999993</v>
      </c>
      <c r="AJ57">
        <v>77.192899999999995</v>
      </c>
      <c r="AK57">
        <v>77.270099999999999</v>
      </c>
      <c r="AL57">
        <v>77.347399999999993</v>
      </c>
      <c r="AM57">
        <v>77.424700000000001</v>
      </c>
      <c r="AN57">
        <v>77.502099999999999</v>
      </c>
      <c r="AO57">
        <v>77.579599999999999</v>
      </c>
      <c r="AP57">
        <v>77.657200000000003</v>
      </c>
      <c r="AQ57">
        <v>77.734800000000007</v>
      </c>
      <c r="AR57">
        <v>77.8125</v>
      </c>
      <c r="AS57">
        <v>77.890299999999996</v>
      </c>
      <c r="AT57">
        <v>77.968199999999996</v>
      </c>
      <c r="AU57">
        <v>78.046199999999999</v>
      </c>
      <c r="AV57">
        <v>78.124200000000002</v>
      </c>
      <c r="AW57">
        <v>78.202299999999994</v>
      </c>
      <c r="AX57">
        <v>78.280500000000004</v>
      </c>
      <c r="AY57">
        <v>78.358800000000002</v>
      </c>
    </row>
    <row r="58" spans="1:51" x14ac:dyDescent="0.2">
      <c r="F58">
        <v>69.607299999999995</v>
      </c>
      <c r="G58">
        <v>69.676900000000003</v>
      </c>
      <c r="H58">
        <v>69.746499999999997</v>
      </c>
      <c r="I58">
        <v>69.816299999999998</v>
      </c>
      <c r="J58">
        <v>69.886099999999999</v>
      </c>
      <c r="K58">
        <v>69.9559</v>
      </c>
      <c r="L58">
        <v>70.025899999999993</v>
      </c>
      <c r="M58">
        <v>70.0959</v>
      </c>
      <c r="N58">
        <v>70.165999999999997</v>
      </c>
      <c r="O58">
        <v>70.236099999999993</v>
      </c>
      <c r="P58">
        <v>70.306399999999996</v>
      </c>
      <c r="Q58">
        <v>70.3767</v>
      </c>
      <c r="R58">
        <v>70.447000000000003</v>
      </c>
      <c r="S58">
        <v>70.517399999999995</v>
      </c>
      <c r="T58">
        <v>70.587999999999994</v>
      </c>
      <c r="U58">
        <v>70.658500000000004</v>
      </c>
      <c r="V58">
        <v>70.729200000000006</v>
      </c>
      <c r="W58">
        <v>70.799899999999994</v>
      </c>
      <c r="X58">
        <v>70.870699999999999</v>
      </c>
      <c r="Y58">
        <v>70.941500000000005</v>
      </c>
      <c r="Z58">
        <v>71.012500000000003</v>
      </c>
      <c r="AA58">
        <v>71.083500000000001</v>
      </c>
      <c r="AB58">
        <v>71.154499999999999</v>
      </c>
      <c r="AC58">
        <v>71.225700000000003</v>
      </c>
      <c r="AD58">
        <v>71.296899999999994</v>
      </c>
      <c r="AE58">
        <v>71.368200000000002</v>
      </c>
      <c r="AF58">
        <v>71.439499999999995</v>
      </c>
      <c r="AG58">
        <v>71.510999999999996</v>
      </c>
      <c r="AH58">
        <v>71.582400000000007</v>
      </c>
      <c r="AI58">
        <v>71.653999999999996</v>
      </c>
      <c r="AJ58">
        <v>71.725700000000003</v>
      </c>
      <c r="AK58">
        <v>71.797399999999996</v>
      </c>
      <c r="AL58">
        <v>71.869200000000006</v>
      </c>
      <c r="AM58">
        <v>71.941000000000003</v>
      </c>
      <c r="AN58">
        <v>72.012900000000002</v>
      </c>
      <c r="AO58">
        <v>72.084900000000005</v>
      </c>
      <c r="AP58">
        <v>72.156999999999996</v>
      </c>
      <c r="AQ58">
        <v>72.229200000000006</v>
      </c>
      <c r="AR58">
        <v>72.301400000000001</v>
      </c>
      <c r="AS58">
        <v>72.373699999999999</v>
      </c>
      <c r="AT58">
        <v>72.445999999999998</v>
      </c>
      <c r="AU58">
        <v>72.5184</v>
      </c>
      <c r="AV58">
        <v>72.590999999999994</v>
      </c>
      <c r="AW58">
        <v>72.663499999999999</v>
      </c>
      <c r="AX58">
        <v>72.736199999999997</v>
      </c>
      <c r="AY58">
        <v>72.808899999999994</v>
      </c>
    </row>
    <row r="59" spans="1:51" x14ac:dyDescent="0.2">
      <c r="G59">
        <v>64.741900000000001</v>
      </c>
      <c r="H59">
        <v>64.806600000000003</v>
      </c>
      <c r="I59">
        <v>64.871399999999994</v>
      </c>
      <c r="J59">
        <v>64.936300000000003</v>
      </c>
      <c r="K59">
        <v>65.001199999999997</v>
      </c>
      <c r="L59">
        <v>65.066199999999995</v>
      </c>
      <c r="M59">
        <v>65.131299999999996</v>
      </c>
      <c r="N59">
        <v>65.196399999999997</v>
      </c>
      <c r="O59">
        <v>65.261600000000001</v>
      </c>
      <c r="P59">
        <v>65.326800000000006</v>
      </c>
      <c r="Q59">
        <v>65.392099999999999</v>
      </c>
      <c r="R59">
        <v>65.457499999999996</v>
      </c>
      <c r="S59">
        <v>65.522999999999996</v>
      </c>
      <c r="T59">
        <v>65.588499999999996</v>
      </c>
      <c r="U59">
        <v>65.653999999999996</v>
      </c>
      <c r="V59">
        <v>65.719700000000003</v>
      </c>
      <c r="W59">
        <v>65.785399999999996</v>
      </c>
      <c r="X59">
        <v>65.851200000000006</v>
      </c>
      <c r="Y59">
        <v>65.917000000000002</v>
      </c>
      <c r="Z59">
        <v>65.982900000000001</v>
      </c>
      <c r="AA59">
        <v>66.048900000000003</v>
      </c>
      <c r="AB59">
        <v>66.114900000000006</v>
      </c>
      <c r="AC59">
        <v>66.180999999999997</v>
      </c>
      <c r="AD59">
        <v>66.247200000000007</v>
      </c>
      <c r="AE59">
        <v>66.313400000000001</v>
      </c>
      <c r="AF59">
        <v>66.3797</v>
      </c>
      <c r="AG59">
        <v>66.446100000000001</v>
      </c>
      <c r="AH59">
        <v>66.512500000000003</v>
      </c>
      <c r="AI59">
        <v>66.578999999999994</v>
      </c>
      <c r="AJ59">
        <v>66.645600000000002</v>
      </c>
      <c r="AK59">
        <v>66.712199999999996</v>
      </c>
      <c r="AL59">
        <v>66.778899999999993</v>
      </c>
      <c r="AM59">
        <v>66.845699999999994</v>
      </c>
      <c r="AN59">
        <v>66.912499999999994</v>
      </c>
      <c r="AO59">
        <v>66.979399999999998</v>
      </c>
      <c r="AP59">
        <v>67.046400000000006</v>
      </c>
      <c r="AQ59">
        <v>67.113399999999999</v>
      </c>
      <c r="AR59">
        <v>67.180499999999995</v>
      </c>
      <c r="AS59">
        <v>67.247699999999995</v>
      </c>
      <c r="AT59">
        <v>67.314899999999994</v>
      </c>
      <c r="AU59">
        <v>67.382199999999997</v>
      </c>
      <c r="AV59">
        <v>67.449600000000004</v>
      </c>
      <c r="AW59">
        <v>67.516999999999996</v>
      </c>
      <c r="AX59">
        <v>67.584599999999995</v>
      </c>
      <c r="AY59">
        <v>67.652100000000004</v>
      </c>
    </row>
    <row r="60" spans="1:51" x14ac:dyDescent="0.2">
      <c r="H60">
        <v>60.2166</v>
      </c>
      <c r="I60">
        <v>60.276800000000001</v>
      </c>
      <c r="J60">
        <v>60.3371</v>
      </c>
      <c r="K60">
        <v>60.397399999999998</v>
      </c>
      <c r="L60">
        <v>60.457799999999999</v>
      </c>
      <c r="M60">
        <v>60.518300000000004</v>
      </c>
      <c r="N60">
        <v>60.578800000000001</v>
      </c>
      <c r="O60">
        <v>60.639299999999999</v>
      </c>
      <c r="P60">
        <v>60.7</v>
      </c>
      <c r="Q60">
        <v>60.7607</v>
      </c>
      <c r="R60">
        <v>60.821399999999997</v>
      </c>
      <c r="S60">
        <v>60.882199999999997</v>
      </c>
      <c r="T60">
        <v>60.943100000000001</v>
      </c>
      <c r="U60">
        <v>61.003999999999998</v>
      </c>
      <c r="V60">
        <v>61.064999999999998</v>
      </c>
      <c r="W60">
        <v>61.126100000000001</v>
      </c>
      <c r="X60">
        <v>61.187199999999997</v>
      </c>
      <c r="Y60">
        <v>61.248399999999997</v>
      </c>
      <c r="Z60">
        <v>61.309600000000003</v>
      </c>
      <c r="AA60">
        <v>61.370899999999999</v>
      </c>
      <c r="AB60">
        <v>61.432200000000002</v>
      </c>
      <c r="AC60">
        <v>61.493699999999997</v>
      </c>
      <c r="AD60">
        <v>61.555199999999999</v>
      </c>
      <c r="AE60">
        <v>61.616700000000002</v>
      </c>
      <c r="AF60">
        <v>61.6783</v>
      </c>
      <c r="AG60">
        <v>61.74</v>
      </c>
      <c r="AH60">
        <v>61.801699999999997</v>
      </c>
      <c r="AI60">
        <v>61.863500000000002</v>
      </c>
      <c r="AJ60">
        <v>61.9253</v>
      </c>
      <c r="AK60">
        <v>61.987299999999998</v>
      </c>
      <c r="AL60">
        <v>62.049199999999999</v>
      </c>
      <c r="AM60">
        <v>62.1113</v>
      </c>
      <c r="AN60">
        <v>62.173400000000001</v>
      </c>
      <c r="AO60">
        <v>62.235500000000002</v>
      </c>
      <c r="AP60">
        <v>62.297800000000002</v>
      </c>
      <c r="AQ60">
        <v>62.36</v>
      </c>
      <c r="AR60">
        <v>62.422400000000003</v>
      </c>
      <c r="AS60">
        <v>62.4848</v>
      </c>
      <c r="AT60">
        <v>62.5473</v>
      </c>
      <c r="AU60">
        <v>62.6098</v>
      </c>
      <c r="AV60">
        <v>62.672400000000003</v>
      </c>
      <c r="AW60">
        <v>62.735100000000003</v>
      </c>
      <c r="AX60">
        <v>62.797800000000002</v>
      </c>
      <c r="AY60">
        <v>62.860599999999998</v>
      </c>
    </row>
    <row r="61" spans="1:51" x14ac:dyDescent="0.2">
      <c r="I61">
        <v>56.0077</v>
      </c>
      <c r="J61">
        <v>56.063699999999997</v>
      </c>
      <c r="K61">
        <v>56.119700000000002</v>
      </c>
      <c r="L61">
        <v>56.175800000000002</v>
      </c>
      <c r="M61">
        <v>56.231999999999999</v>
      </c>
      <c r="N61">
        <v>56.288200000000003</v>
      </c>
      <c r="O61">
        <v>56.344499999999996</v>
      </c>
      <c r="P61">
        <v>56.400799999999997</v>
      </c>
      <c r="Q61">
        <v>56.4572</v>
      </c>
      <c r="R61">
        <v>56.5137</v>
      </c>
      <c r="S61">
        <v>56.5702</v>
      </c>
      <c r="T61">
        <v>56.6267</v>
      </c>
      <c r="U61">
        <v>56.683300000000003</v>
      </c>
      <c r="V61">
        <v>56.74</v>
      </c>
      <c r="W61">
        <v>56.796700000000001</v>
      </c>
      <c r="X61">
        <v>56.853499999999997</v>
      </c>
      <c r="Y61">
        <v>56.910400000000003</v>
      </c>
      <c r="Z61">
        <v>56.967300000000002</v>
      </c>
      <c r="AA61">
        <v>57.0242</v>
      </c>
      <c r="AB61">
        <v>57.081200000000003</v>
      </c>
      <c r="AC61">
        <v>57.138300000000001</v>
      </c>
      <c r="AD61">
        <v>57.195399999999999</v>
      </c>
      <c r="AE61">
        <v>57.252600000000001</v>
      </c>
      <c r="AF61">
        <v>57.309899999999999</v>
      </c>
      <c r="AG61">
        <v>57.367199999999997</v>
      </c>
      <c r="AH61">
        <v>57.424500000000002</v>
      </c>
      <c r="AI61">
        <v>57.481900000000003</v>
      </c>
      <c r="AJ61">
        <v>57.539400000000001</v>
      </c>
      <c r="AK61">
        <v>57.596899999999998</v>
      </c>
      <c r="AL61">
        <v>57.654499999999999</v>
      </c>
      <c r="AM61">
        <v>57.712200000000003</v>
      </c>
      <c r="AN61">
        <v>57.7699</v>
      </c>
      <c r="AO61">
        <v>57.827599999999997</v>
      </c>
      <c r="AP61">
        <v>57.885399999999997</v>
      </c>
      <c r="AQ61">
        <v>57.943300000000001</v>
      </c>
      <c r="AR61">
        <v>58.001199999999997</v>
      </c>
      <c r="AS61">
        <v>58.059199999999997</v>
      </c>
      <c r="AT61">
        <v>58.1173</v>
      </c>
      <c r="AU61">
        <v>58.175400000000003</v>
      </c>
      <c r="AV61">
        <v>58.233600000000003</v>
      </c>
      <c r="AW61">
        <v>58.291800000000002</v>
      </c>
      <c r="AX61">
        <v>58.350099999999998</v>
      </c>
      <c r="AY61">
        <v>58.4084</v>
      </c>
    </row>
    <row r="62" spans="1:51" x14ac:dyDescent="0.2">
      <c r="J62">
        <v>52.0929</v>
      </c>
      <c r="K62">
        <v>52.145000000000003</v>
      </c>
      <c r="L62">
        <v>52.197099999999999</v>
      </c>
      <c r="M62">
        <v>52.249299999999998</v>
      </c>
      <c r="N62">
        <v>52.301499999999997</v>
      </c>
      <c r="O62">
        <v>52.3538</v>
      </c>
      <c r="P62">
        <v>52.406199999999998</v>
      </c>
      <c r="Q62">
        <v>52.458599999999997</v>
      </c>
      <c r="R62">
        <v>52.511000000000003</v>
      </c>
      <c r="S62">
        <v>52.563499999999998</v>
      </c>
      <c r="T62">
        <v>52.616100000000003</v>
      </c>
      <c r="U62">
        <v>52.668700000000001</v>
      </c>
      <c r="V62">
        <v>52.721299999999999</v>
      </c>
      <c r="W62">
        <v>52.774000000000001</v>
      </c>
      <c r="X62">
        <v>52.826799999999999</v>
      </c>
      <c r="Y62">
        <v>52.879600000000003</v>
      </c>
      <c r="Z62">
        <v>52.932499999999997</v>
      </c>
      <c r="AA62">
        <v>52.985399999999998</v>
      </c>
      <c r="AB62">
        <v>53.038400000000003</v>
      </c>
      <c r="AC62">
        <v>53.0914</v>
      </c>
      <c r="AD62">
        <v>53.144500000000001</v>
      </c>
      <c r="AE62">
        <v>53.197600000000001</v>
      </c>
      <c r="AF62">
        <v>53.250799999999998</v>
      </c>
      <c r="AG62">
        <v>53.304099999999998</v>
      </c>
      <c r="AH62">
        <v>53.357399999999998</v>
      </c>
      <c r="AI62">
        <v>53.410699999999999</v>
      </c>
      <c r="AJ62">
        <v>53.464100000000002</v>
      </c>
      <c r="AK62">
        <v>53.517600000000002</v>
      </c>
      <c r="AL62">
        <v>53.571100000000001</v>
      </c>
      <c r="AM62">
        <v>53.624600000000001</v>
      </c>
      <c r="AN62">
        <v>53.678199999999997</v>
      </c>
      <c r="AO62">
        <v>53.731900000000003</v>
      </c>
      <c r="AP62">
        <v>53.785600000000002</v>
      </c>
      <c r="AQ62">
        <v>53.839399999999998</v>
      </c>
      <c r="AR62">
        <v>53.8932</v>
      </c>
      <c r="AS62">
        <v>53.947099999999999</v>
      </c>
      <c r="AT62">
        <v>54.001100000000001</v>
      </c>
      <c r="AU62">
        <v>54.055</v>
      </c>
      <c r="AV62">
        <v>54.109099999999998</v>
      </c>
      <c r="AW62">
        <v>54.163200000000003</v>
      </c>
      <c r="AX62">
        <v>54.217300000000002</v>
      </c>
      <c r="AY62">
        <v>54.271500000000003</v>
      </c>
    </row>
    <row r="63" spans="1:51" x14ac:dyDescent="0.2">
      <c r="L63">
        <v>48.5002</v>
      </c>
      <c r="M63">
        <v>48.548699999999997</v>
      </c>
      <c r="N63">
        <v>48.597200000000001</v>
      </c>
      <c r="O63">
        <v>48.645800000000001</v>
      </c>
      <c r="P63">
        <v>48.694400000000002</v>
      </c>
      <c r="Q63">
        <v>48.743099999999998</v>
      </c>
      <c r="R63">
        <v>48.791800000000002</v>
      </c>
      <c r="S63">
        <v>48.840600000000002</v>
      </c>
      <c r="T63">
        <v>48.889499999999998</v>
      </c>
      <c r="U63">
        <v>48.938299999999998</v>
      </c>
      <c r="V63">
        <v>48.987299999999998</v>
      </c>
      <c r="W63">
        <v>49.036200000000001</v>
      </c>
      <c r="X63">
        <v>49.085299999999997</v>
      </c>
      <c r="Y63">
        <v>49.134300000000003</v>
      </c>
      <c r="Z63">
        <v>49.183500000000002</v>
      </c>
      <c r="AA63">
        <v>49.232599999999998</v>
      </c>
      <c r="AB63">
        <v>49.2819</v>
      </c>
      <c r="AC63">
        <v>49.331099999999999</v>
      </c>
      <c r="AD63">
        <v>49.380499999999998</v>
      </c>
      <c r="AE63">
        <v>49.4298</v>
      </c>
      <c r="AF63">
        <v>49.479300000000002</v>
      </c>
      <c r="AG63">
        <v>49.528700000000001</v>
      </c>
      <c r="AH63">
        <v>49.578200000000002</v>
      </c>
      <c r="AI63">
        <v>49.627800000000001</v>
      </c>
      <c r="AJ63">
        <v>49.677399999999999</v>
      </c>
      <c r="AK63">
        <v>49.7271</v>
      </c>
      <c r="AL63">
        <v>49.776800000000001</v>
      </c>
      <c r="AM63">
        <v>49.826599999999999</v>
      </c>
      <c r="AN63">
        <v>49.876399999999997</v>
      </c>
      <c r="AO63">
        <v>49.926299999999998</v>
      </c>
      <c r="AP63">
        <v>49.976199999999999</v>
      </c>
      <c r="AQ63">
        <v>50.026200000000003</v>
      </c>
      <c r="AR63">
        <v>50.0762</v>
      </c>
      <c r="AS63">
        <v>50.126199999999997</v>
      </c>
      <c r="AT63">
        <v>50.176400000000001</v>
      </c>
      <c r="AU63">
        <v>50.226500000000001</v>
      </c>
      <c r="AV63">
        <v>50.276699999999998</v>
      </c>
      <c r="AW63">
        <v>50.326999999999998</v>
      </c>
      <c r="AX63">
        <v>50.377299999999998</v>
      </c>
      <c r="AY63">
        <v>50.427700000000002</v>
      </c>
    </row>
    <row r="64" spans="1:51" x14ac:dyDescent="0.2">
      <c r="N64">
        <v>45.155200000000001</v>
      </c>
      <c r="O64">
        <v>45.200400000000002</v>
      </c>
      <c r="P64">
        <v>45.245600000000003</v>
      </c>
      <c r="Q64">
        <v>45.290799999999997</v>
      </c>
      <c r="R64">
        <v>45.336100000000002</v>
      </c>
      <c r="S64">
        <v>45.381399999999999</v>
      </c>
      <c r="T64">
        <v>45.4268</v>
      </c>
      <c r="U64">
        <v>45.472200000000001</v>
      </c>
      <c r="V64">
        <v>45.517699999999998</v>
      </c>
      <c r="W64">
        <v>45.563200000000002</v>
      </c>
      <c r="X64">
        <v>45.608699999999999</v>
      </c>
      <c r="Y64">
        <v>45.654299999999999</v>
      </c>
      <c r="Z64">
        <v>45.7</v>
      </c>
      <c r="AA64">
        <v>45.745699999999999</v>
      </c>
      <c r="AB64">
        <v>45.791400000000003</v>
      </c>
      <c r="AC64">
        <v>45.837200000000003</v>
      </c>
      <c r="AD64">
        <v>45.883000000000003</v>
      </c>
      <c r="AE64">
        <v>45.928899999999999</v>
      </c>
      <c r="AF64">
        <v>45.974800000000002</v>
      </c>
      <c r="AG64">
        <v>46.020800000000001</v>
      </c>
      <c r="AH64">
        <v>46.066800000000001</v>
      </c>
      <c r="AI64">
        <v>46.112900000000003</v>
      </c>
      <c r="AJ64">
        <v>46.158999999999999</v>
      </c>
      <c r="AK64">
        <v>46.205100000000002</v>
      </c>
      <c r="AL64">
        <v>46.251300000000001</v>
      </c>
      <c r="AM64">
        <v>46.297600000000003</v>
      </c>
      <c r="AN64">
        <v>46.343800000000002</v>
      </c>
      <c r="AO64">
        <v>46.3902</v>
      </c>
      <c r="AP64">
        <v>46.436599999999999</v>
      </c>
      <c r="AQ64">
        <v>46.482999999999997</v>
      </c>
      <c r="AR64">
        <v>46.529499999999999</v>
      </c>
      <c r="AS64">
        <v>46.576000000000001</v>
      </c>
      <c r="AT64">
        <v>46.622599999999998</v>
      </c>
      <c r="AU64">
        <v>46.669199999999996</v>
      </c>
      <c r="AV64">
        <v>46.715800000000002</v>
      </c>
      <c r="AW64">
        <v>46.762500000000003</v>
      </c>
      <c r="AX64">
        <v>46.8093</v>
      </c>
      <c r="AY64">
        <v>46.856099999999998</v>
      </c>
    </row>
    <row r="65" spans="17:51" x14ac:dyDescent="0.2">
      <c r="Q65">
        <v>42.082999999999998</v>
      </c>
      <c r="R65">
        <v>42.125100000000003</v>
      </c>
      <c r="S65">
        <v>42.167200000000001</v>
      </c>
      <c r="T65">
        <v>42.209400000000002</v>
      </c>
      <c r="U65">
        <v>42.251600000000003</v>
      </c>
      <c r="V65">
        <v>42.293799999999997</v>
      </c>
      <c r="W65">
        <v>42.336100000000002</v>
      </c>
      <c r="X65">
        <v>42.378399999999999</v>
      </c>
      <c r="Y65">
        <v>42.4208</v>
      </c>
      <c r="Z65">
        <v>42.463200000000001</v>
      </c>
      <c r="AA65">
        <v>42.505699999999997</v>
      </c>
      <c r="AB65">
        <v>42.548200000000001</v>
      </c>
      <c r="AC65">
        <v>42.590699999999998</v>
      </c>
      <c r="AD65">
        <v>42.633299999999998</v>
      </c>
      <c r="AE65">
        <v>42.675899999999999</v>
      </c>
      <c r="AF65">
        <v>42.718600000000002</v>
      </c>
      <c r="AG65">
        <v>42.761299999999999</v>
      </c>
      <c r="AH65">
        <v>42.804099999999998</v>
      </c>
      <c r="AI65">
        <v>42.846899999999998</v>
      </c>
      <c r="AJ65">
        <v>42.889699999999998</v>
      </c>
      <c r="AK65">
        <v>42.932600000000001</v>
      </c>
      <c r="AL65">
        <v>42.975499999999997</v>
      </c>
      <c r="AM65">
        <v>43.018500000000003</v>
      </c>
      <c r="AN65">
        <v>43.061500000000002</v>
      </c>
      <c r="AO65">
        <v>43.104500000000002</v>
      </c>
      <c r="AP65">
        <v>43.147599999999997</v>
      </c>
      <c r="AQ65">
        <v>43.190800000000003</v>
      </c>
      <c r="AR65">
        <v>43.234000000000002</v>
      </c>
      <c r="AS65">
        <v>43.277200000000001</v>
      </c>
      <c r="AT65">
        <v>43.320500000000003</v>
      </c>
      <c r="AU65">
        <v>43.363799999999998</v>
      </c>
      <c r="AV65">
        <v>43.4071</v>
      </c>
      <c r="AW65">
        <v>43.450499999999998</v>
      </c>
      <c r="AX65">
        <v>43.494</v>
      </c>
      <c r="AY65">
        <v>43.537500000000001</v>
      </c>
    </row>
    <row r="66" spans="17:51" x14ac:dyDescent="0.2">
      <c r="S66">
        <v>39.180700000000002</v>
      </c>
      <c r="T66">
        <v>39.219900000000003</v>
      </c>
      <c r="U66">
        <v>39.259099999999997</v>
      </c>
      <c r="V66">
        <v>39.298299999999998</v>
      </c>
      <c r="W66">
        <v>39.337600000000002</v>
      </c>
      <c r="X66">
        <v>39.376899999999999</v>
      </c>
      <c r="Y66">
        <v>39.4163</v>
      </c>
      <c r="Z66">
        <v>39.4557</v>
      </c>
      <c r="AA66">
        <v>39.495199999999997</v>
      </c>
      <c r="AB66">
        <v>39.534700000000001</v>
      </c>
      <c r="AC66">
        <v>39.574199999999998</v>
      </c>
      <c r="AD66">
        <v>39.613799999999998</v>
      </c>
      <c r="AE66">
        <v>39.653399999999998</v>
      </c>
      <c r="AF66">
        <v>39.692999999999998</v>
      </c>
      <c r="AG66">
        <v>39.732700000000001</v>
      </c>
      <c r="AH66">
        <v>39.772399999999998</v>
      </c>
      <c r="AI66">
        <v>39.812199999999997</v>
      </c>
      <c r="AJ66">
        <v>39.851999999999997</v>
      </c>
      <c r="AK66">
        <v>39.891800000000003</v>
      </c>
      <c r="AL66">
        <v>39.931699999999999</v>
      </c>
      <c r="AM66">
        <v>39.971600000000002</v>
      </c>
      <c r="AN66">
        <v>40.011600000000001</v>
      </c>
      <c r="AO66">
        <v>40.051600000000001</v>
      </c>
      <c r="AP66">
        <v>40.091700000000003</v>
      </c>
      <c r="AQ66">
        <v>40.131700000000002</v>
      </c>
      <c r="AR66">
        <v>40.171900000000001</v>
      </c>
      <c r="AS66">
        <v>40.212000000000003</v>
      </c>
      <c r="AT66">
        <v>40.252200000000002</v>
      </c>
      <c r="AU66">
        <v>40.292499999999997</v>
      </c>
      <c r="AV66">
        <v>40.332799999999999</v>
      </c>
      <c r="AW66">
        <v>40.373100000000001</v>
      </c>
      <c r="AX66">
        <v>40.413400000000003</v>
      </c>
      <c r="AY66">
        <v>40.453899999999997</v>
      </c>
    </row>
    <row r="67" spans="17:51" x14ac:dyDescent="0.2">
      <c r="V67">
        <v>36.515000000000001</v>
      </c>
      <c r="W67">
        <v>36.551499999999997</v>
      </c>
      <c r="X67">
        <v>36.588000000000001</v>
      </c>
      <c r="Y67">
        <v>36.624600000000001</v>
      </c>
      <c r="Z67">
        <v>36.661200000000001</v>
      </c>
      <c r="AA67">
        <v>36.697899999999997</v>
      </c>
      <c r="AB67">
        <v>36.7346</v>
      </c>
      <c r="AC67">
        <v>36.771299999999997</v>
      </c>
      <c r="AD67">
        <v>36.808100000000003</v>
      </c>
      <c r="AE67">
        <v>36.844900000000003</v>
      </c>
      <c r="AF67">
        <v>36.881700000000002</v>
      </c>
      <c r="AG67">
        <v>36.918599999999998</v>
      </c>
      <c r="AH67">
        <v>36.955500000000001</v>
      </c>
      <c r="AI67">
        <v>36.992400000000004</v>
      </c>
      <c r="AJ67">
        <v>37.029400000000003</v>
      </c>
      <c r="AK67">
        <v>37.066400000000002</v>
      </c>
      <c r="AL67">
        <v>37.103499999999997</v>
      </c>
      <c r="AM67">
        <v>37.140599999999999</v>
      </c>
      <c r="AN67">
        <v>37.177700000000002</v>
      </c>
      <c r="AO67">
        <v>37.2149</v>
      </c>
      <c r="AP67">
        <v>37.252099999999999</v>
      </c>
      <c r="AQ67">
        <v>37.289400000000001</v>
      </c>
      <c r="AR67">
        <v>37.326599999999999</v>
      </c>
      <c r="AS67">
        <v>37.363999999999997</v>
      </c>
      <c r="AT67">
        <v>37.401299999999999</v>
      </c>
      <c r="AU67">
        <v>37.438699999999997</v>
      </c>
      <c r="AV67">
        <v>37.476100000000002</v>
      </c>
      <c r="AW67">
        <v>37.513599999999997</v>
      </c>
      <c r="AX67">
        <v>37.551099999999998</v>
      </c>
      <c r="AY67">
        <v>37.588700000000003</v>
      </c>
    </row>
    <row r="68" spans="17:51" x14ac:dyDescent="0.2">
      <c r="Y68">
        <v>34.0306</v>
      </c>
      <c r="Z68">
        <v>34.064599999999999</v>
      </c>
      <c r="AA68">
        <v>34.098700000000001</v>
      </c>
      <c r="AB68">
        <v>34.132800000000003</v>
      </c>
      <c r="AC68">
        <v>34.166899999999998</v>
      </c>
      <c r="AD68">
        <v>34.201099999999997</v>
      </c>
      <c r="AE68">
        <v>34.235300000000002</v>
      </c>
      <c r="AF68">
        <v>34.269500000000001</v>
      </c>
      <c r="AG68">
        <v>34.303800000000003</v>
      </c>
      <c r="AH68">
        <v>34.338099999999997</v>
      </c>
      <c r="AI68">
        <v>34.372399999999999</v>
      </c>
      <c r="AJ68">
        <v>34.406799999999997</v>
      </c>
      <c r="AK68">
        <v>34.441200000000002</v>
      </c>
      <c r="AL68">
        <v>34.4756</v>
      </c>
      <c r="AM68">
        <v>34.510100000000001</v>
      </c>
      <c r="AN68">
        <v>34.544600000000003</v>
      </c>
      <c r="AO68">
        <v>34.579099999999997</v>
      </c>
      <c r="AP68">
        <v>34.613700000000001</v>
      </c>
      <c r="AQ68">
        <v>34.648299999999999</v>
      </c>
      <c r="AR68">
        <v>34.682899999999997</v>
      </c>
      <c r="AS68">
        <v>34.717599999999997</v>
      </c>
      <c r="AT68">
        <v>34.752299999999998</v>
      </c>
      <c r="AU68">
        <v>34.787100000000002</v>
      </c>
      <c r="AV68">
        <v>34.821800000000003</v>
      </c>
      <c r="AW68">
        <v>34.856699999999996</v>
      </c>
      <c r="AX68">
        <v>34.891500000000001</v>
      </c>
      <c r="AY68">
        <v>34.926400000000001</v>
      </c>
    </row>
    <row r="69" spans="17:51" x14ac:dyDescent="0.2">
      <c r="AB69">
        <v>31.715299999999999</v>
      </c>
      <c r="AC69">
        <v>31.747</v>
      </c>
      <c r="AD69">
        <v>31.778700000000001</v>
      </c>
      <c r="AE69">
        <v>31.810500000000001</v>
      </c>
      <c r="AF69">
        <v>31.842300000000002</v>
      </c>
      <c r="AG69">
        <v>31.874199999999998</v>
      </c>
      <c r="AH69">
        <v>31.905999999999999</v>
      </c>
      <c r="AI69">
        <v>31.937899999999999</v>
      </c>
      <c r="AJ69">
        <v>31.969899999999999</v>
      </c>
      <c r="AK69">
        <v>32.001800000000003</v>
      </c>
      <c r="AL69">
        <v>32.033799999999999</v>
      </c>
      <c r="AM69">
        <v>32.065800000000003</v>
      </c>
      <c r="AN69">
        <v>32.097900000000003</v>
      </c>
      <c r="AO69">
        <v>32.130000000000003</v>
      </c>
      <c r="AP69">
        <v>32.162100000000002</v>
      </c>
      <c r="AQ69">
        <v>32.194299999999998</v>
      </c>
      <c r="AR69">
        <v>32.226500000000001</v>
      </c>
      <c r="AS69">
        <v>32.258699999999997</v>
      </c>
      <c r="AT69">
        <v>32.290900000000001</v>
      </c>
      <c r="AU69">
        <v>32.3232</v>
      </c>
      <c r="AV69">
        <v>32.355499999999999</v>
      </c>
      <c r="AW69">
        <v>32.387900000000002</v>
      </c>
      <c r="AX69">
        <v>32.420299999999997</v>
      </c>
      <c r="AY69">
        <v>32.4527</v>
      </c>
    </row>
    <row r="70" spans="17:51" x14ac:dyDescent="0.2">
      <c r="AE70">
        <v>29.557500000000001</v>
      </c>
      <c r="AF70">
        <v>29.5871</v>
      </c>
      <c r="AG70">
        <v>29.616599999999998</v>
      </c>
      <c r="AH70">
        <v>29.6462</v>
      </c>
      <c r="AI70">
        <v>29.675899999999999</v>
      </c>
      <c r="AJ70">
        <v>29.7056</v>
      </c>
      <c r="AK70">
        <v>29.735299999999999</v>
      </c>
      <c r="AL70">
        <v>29.765000000000001</v>
      </c>
      <c r="AM70">
        <v>29.794699999999999</v>
      </c>
      <c r="AN70">
        <v>29.8245</v>
      </c>
      <c r="AO70">
        <v>29.854399999999998</v>
      </c>
      <c r="AP70">
        <v>29.8842</v>
      </c>
      <c r="AQ70">
        <v>29.914100000000001</v>
      </c>
      <c r="AR70">
        <v>29.943999999999999</v>
      </c>
      <c r="AS70">
        <v>29.9739</v>
      </c>
      <c r="AT70">
        <v>30.003900000000002</v>
      </c>
      <c r="AU70">
        <v>30.033899999999999</v>
      </c>
      <c r="AV70">
        <v>30.0639</v>
      </c>
      <c r="AW70">
        <v>30.094000000000001</v>
      </c>
      <c r="AX70">
        <v>30.124099999999999</v>
      </c>
      <c r="AY70">
        <v>30.154199999999999</v>
      </c>
    </row>
    <row r="71" spans="17:51" x14ac:dyDescent="0.2">
      <c r="AI71">
        <v>27.574100000000001</v>
      </c>
      <c r="AJ71">
        <v>27.601600000000001</v>
      </c>
      <c r="AK71">
        <v>27.629200000000001</v>
      </c>
      <c r="AL71">
        <v>27.6568</v>
      </c>
      <c r="AM71">
        <v>27.6845</v>
      </c>
      <c r="AN71">
        <v>27.712199999999999</v>
      </c>
      <c r="AO71">
        <v>27.739899999999999</v>
      </c>
      <c r="AP71">
        <v>27.767600000000002</v>
      </c>
      <c r="AQ71">
        <v>27.795400000000001</v>
      </c>
      <c r="AR71">
        <v>27.8232</v>
      </c>
      <c r="AS71">
        <v>27.850999999999999</v>
      </c>
      <c r="AT71">
        <v>27.878799999999998</v>
      </c>
      <c r="AU71">
        <v>27.906700000000001</v>
      </c>
      <c r="AV71">
        <v>27.9346</v>
      </c>
      <c r="AW71">
        <v>27.962499999999999</v>
      </c>
      <c r="AX71">
        <v>27.990500000000001</v>
      </c>
      <c r="AY71">
        <v>28.0185</v>
      </c>
    </row>
    <row r="72" spans="17:51" x14ac:dyDescent="0.2">
      <c r="AM72">
        <v>25.723700000000001</v>
      </c>
      <c r="AN72">
        <v>25.749400000000001</v>
      </c>
      <c r="AO72">
        <v>25.775200000000002</v>
      </c>
      <c r="AP72">
        <v>25.800899999999999</v>
      </c>
      <c r="AQ72">
        <v>25.826699999999999</v>
      </c>
      <c r="AR72">
        <v>25.852599999999999</v>
      </c>
      <c r="AS72">
        <v>25.878399999999999</v>
      </c>
      <c r="AT72">
        <v>25.904299999999999</v>
      </c>
      <c r="AU72">
        <v>25.930199999999999</v>
      </c>
      <c r="AV72">
        <v>25.956099999999999</v>
      </c>
      <c r="AW72">
        <v>25.982099999999999</v>
      </c>
      <c r="AX72">
        <v>26.007999999999999</v>
      </c>
      <c r="AY72">
        <v>26.033999999999999</v>
      </c>
    </row>
    <row r="73" spans="17:51" x14ac:dyDescent="0.2">
      <c r="AQ73">
        <v>23.997499999999999</v>
      </c>
      <c r="AR73">
        <v>24.0215</v>
      </c>
      <c r="AS73">
        <v>24.045500000000001</v>
      </c>
      <c r="AT73">
        <v>24.069600000000001</v>
      </c>
      <c r="AU73">
        <v>24.093599999999999</v>
      </c>
      <c r="AV73">
        <v>24.117699999999999</v>
      </c>
      <c r="AW73">
        <v>24.1418</v>
      </c>
      <c r="AX73">
        <v>24.166</v>
      </c>
      <c r="AY73">
        <v>24.190100000000001</v>
      </c>
    </row>
    <row r="74" spans="17:51" x14ac:dyDescent="0.2">
      <c r="AU74">
        <v>22.3872</v>
      </c>
      <c r="AV74">
        <v>22.409600000000001</v>
      </c>
      <c r="AW74">
        <v>22.431999999999999</v>
      </c>
      <c r="AX74">
        <v>22.4544</v>
      </c>
      <c r="AY74">
        <v>22.476800000000001</v>
      </c>
    </row>
    <row r="75" spans="17:51" x14ac:dyDescent="0.2">
      <c r="AY75">
        <v>20.884899999999998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430B-010D-6947-811D-DDA5E2191633}">
  <sheetPr codeName="Feuil2">
    <tabColor theme="9" tint="-0.249977111117893"/>
  </sheetPr>
  <dimension ref="A1:AY75"/>
  <sheetViews>
    <sheetView zoomScale="97" zoomScaleNormal="97" workbookViewId="0">
      <selection activeCell="F8" sqref="F8"/>
    </sheetView>
  </sheetViews>
  <sheetFormatPr baseColWidth="10" defaultRowHeight="15" x14ac:dyDescent="0.2"/>
  <cols>
    <col min="1" max="1" width="14.5" bestFit="1" customWidth="1"/>
    <col min="2" max="12" width="10.5" bestFit="1" customWidth="1"/>
    <col min="13" max="51" width="11.5" bestFit="1" customWidth="1"/>
    <col min="52" max="165" width="10.1640625" bestFit="1" customWidth="1"/>
    <col min="166" max="702" width="11.1640625" bestFit="1" customWidth="1"/>
  </cols>
  <sheetData>
    <row r="1" spans="1:1" x14ac:dyDescent="0.2">
      <c r="A1" t="s">
        <v>59</v>
      </c>
    </row>
    <row r="33" spans="6:51" x14ac:dyDescent="0.2">
      <c r="AU33">
        <v>202.375981</v>
      </c>
      <c r="AV33">
        <v>224.913129</v>
      </c>
      <c r="AW33">
        <v>255.150386</v>
      </c>
      <c r="AX33">
        <v>297.82781899999998</v>
      </c>
      <c r="AY33">
        <v>361.83704299999999</v>
      </c>
    </row>
    <row r="34" spans="6:51" x14ac:dyDescent="0.2">
      <c r="AQ34">
        <v>183.21319</v>
      </c>
      <c r="AR34">
        <v>204.57301799999999</v>
      </c>
      <c r="AS34">
        <v>233.85313300000001</v>
      </c>
      <c r="AT34">
        <v>276.38004899999999</v>
      </c>
      <c r="AU34">
        <v>290.23722400000003</v>
      </c>
      <c r="AV34">
        <v>304.69145200000003</v>
      </c>
      <c r="AW34">
        <v>318.61022800000001</v>
      </c>
      <c r="AX34">
        <v>329.15189299999997</v>
      </c>
      <c r="AY34">
        <v>329.48098399999998</v>
      </c>
    </row>
    <row r="35" spans="6:51" x14ac:dyDescent="0.2">
      <c r="AL35">
        <v>149.61544000000001</v>
      </c>
      <c r="AM35">
        <v>164.251801</v>
      </c>
      <c r="AN35">
        <v>183.398911</v>
      </c>
      <c r="AO35">
        <v>209.65986899999999</v>
      </c>
      <c r="AP35">
        <v>247.832841</v>
      </c>
      <c r="AQ35">
        <v>259.93334199999998</v>
      </c>
      <c r="AR35">
        <v>272.15171099999998</v>
      </c>
      <c r="AS35">
        <v>282.943467</v>
      </c>
      <c r="AT35">
        <v>288.52296999999999</v>
      </c>
      <c r="AU35">
        <v>293.31149799999997</v>
      </c>
      <c r="AV35">
        <v>296.88153399999999</v>
      </c>
      <c r="AW35">
        <v>298.818758</v>
      </c>
      <c r="AX35">
        <v>299.11752100000001</v>
      </c>
      <c r="AY35">
        <v>299.416583</v>
      </c>
    </row>
    <row r="36" spans="6:51" x14ac:dyDescent="0.2">
      <c r="AH36">
        <v>142.57048700000001</v>
      </c>
      <c r="AI36">
        <v>158.59468000000001</v>
      </c>
      <c r="AJ36">
        <v>180.444074</v>
      </c>
      <c r="AK36">
        <v>212.01358099999999</v>
      </c>
      <c r="AL36">
        <v>222.227575</v>
      </c>
      <c r="AM36">
        <v>233.06546399999999</v>
      </c>
      <c r="AN36">
        <v>243.99390099999999</v>
      </c>
      <c r="AO36">
        <v>253.61356799999999</v>
      </c>
      <c r="AP36">
        <v>258.497727</v>
      </c>
      <c r="AQ36">
        <v>262.65270800000002</v>
      </c>
      <c r="AR36">
        <v>265.76520900000003</v>
      </c>
      <c r="AS36">
        <v>267.70157</v>
      </c>
      <c r="AT36">
        <v>269.165391</v>
      </c>
      <c r="AU36">
        <v>270.135561</v>
      </c>
      <c r="AV36">
        <v>270.66886299999999</v>
      </c>
      <c r="AW36">
        <v>270.939482</v>
      </c>
      <c r="AX36">
        <v>271.21037200000001</v>
      </c>
      <c r="AY36">
        <v>271.48153200000002</v>
      </c>
    </row>
    <row r="37" spans="6:51" x14ac:dyDescent="0.2">
      <c r="AD37">
        <v>129.92420300000001</v>
      </c>
      <c r="AE37">
        <v>144.90218400000001</v>
      </c>
      <c r="AF37">
        <v>165.40375399999999</v>
      </c>
      <c r="AG37">
        <v>195.14818500000001</v>
      </c>
      <c r="AH37">
        <v>204.54874899999999</v>
      </c>
      <c r="AI37">
        <v>214.08265299999999</v>
      </c>
      <c r="AJ37">
        <v>222.628298</v>
      </c>
      <c r="AK37">
        <v>227.427673</v>
      </c>
      <c r="AL37">
        <v>231.83599799999999</v>
      </c>
      <c r="AM37">
        <v>235.59433899999999</v>
      </c>
      <c r="AN37">
        <v>238.42507699999999</v>
      </c>
      <c r="AO37">
        <v>240.21642499999999</v>
      </c>
      <c r="AP37">
        <v>241.619663</v>
      </c>
      <c r="AQ37">
        <v>242.63835700000001</v>
      </c>
      <c r="AR37">
        <v>243.34461899999999</v>
      </c>
      <c r="AS37">
        <v>243.87465399999999</v>
      </c>
      <c r="AT37">
        <v>244.259097</v>
      </c>
      <c r="AU37">
        <v>244.545547</v>
      </c>
      <c r="AV37">
        <v>244.79004699999999</v>
      </c>
      <c r="AW37">
        <v>245.03479200000001</v>
      </c>
      <c r="AX37">
        <v>245.27978100000001</v>
      </c>
      <c r="AY37">
        <v>245.52501599999999</v>
      </c>
    </row>
    <row r="38" spans="6:51" x14ac:dyDescent="0.2">
      <c r="AA38">
        <v>130.589012</v>
      </c>
      <c r="AB38">
        <v>149.25919400000001</v>
      </c>
      <c r="AC38">
        <v>176.36671200000001</v>
      </c>
      <c r="AD38">
        <v>184.96421699999999</v>
      </c>
      <c r="AE38">
        <v>193.64655099999999</v>
      </c>
      <c r="AF38">
        <v>201.33076299999999</v>
      </c>
      <c r="AG38">
        <v>205.36232200000001</v>
      </c>
      <c r="AH38">
        <v>208.884534</v>
      </c>
      <c r="AI38">
        <v>211.67084199999999</v>
      </c>
      <c r="AJ38">
        <v>213.62713500000001</v>
      </c>
      <c r="AK38">
        <v>215.27370099999999</v>
      </c>
      <c r="AL38">
        <v>216.57749799999999</v>
      </c>
      <c r="AM38">
        <v>217.54331400000001</v>
      </c>
      <c r="AN38">
        <v>218.23772700000001</v>
      </c>
      <c r="AO38">
        <v>218.78436400000001</v>
      </c>
      <c r="AP38">
        <v>219.20876899999999</v>
      </c>
      <c r="AQ38">
        <v>219.54597699999999</v>
      </c>
      <c r="AR38">
        <v>219.82970700000001</v>
      </c>
      <c r="AS38">
        <v>220.076572</v>
      </c>
      <c r="AT38">
        <v>220.30338499999999</v>
      </c>
      <c r="AU38">
        <v>220.52364700000001</v>
      </c>
      <c r="AV38">
        <v>220.74413000000001</v>
      </c>
      <c r="AW38">
        <v>220.964834</v>
      </c>
      <c r="AX38">
        <v>221.18575799999999</v>
      </c>
      <c r="AY38">
        <v>221.406902</v>
      </c>
    </row>
    <row r="39" spans="6:51" x14ac:dyDescent="0.2">
      <c r="W39">
        <v>108.02237599999999</v>
      </c>
      <c r="X39">
        <v>121.190888</v>
      </c>
      <c r="Y39">
        <v>139.349739</v>
      </c>
      <c r="Z39">
        <v>165.902072</v>
      </c>
      <c r="AA39">
        <v>173.75868500000001</v>
      </c>
      <c r="AB39">
        <v>180.69674499999999</v>
      </c>
      <c r="AC39">
        <v>184.290548</v>
      </c>
      <c r="AD39">
        <v>187.39016599999999</v>
      </c>
      <c r="AE39">
        <v>189.78174899999999</v>
      </c>
      <c r="AF39">
        <v>191.38068000000001</v>
      </c>
      <c r="AG39">
        <v>192.695257</v>
      </c>
      <c r="AH39">
        <v>193.725312</v>
      </c>
      <c r="AI39">
        <v>194.519442</v>
      </c>
      <c r="AJ39">
        <v>195.17076599999999</v>
      </c>
      <c r="AK39">
        <v>195.69088400000001</v>
      </c>
      <c r="AL39">
        <v>196.102451</v>
      </c>
      <c r="AM39">
        <v>196.436261</v>
      </c>
      <c r="AN39">
        <v>196.72128799999999</v>
      </c>
      <c r="AO39">
        <v>196.970258</v>
      </c>
      <c r="AP39">
        <v>197.19542300000001</v>
      </c>
      <c r="AQ39">
        <v>197.40629200000001</v>
      </c>
      <c r="AR39">
        <v>197.60873000000001</v>
      </c>
      <c r="AS39">
        <v>197.80739</v>
      </c>
      <c r="AT39">
        <v>198.00516099999999</v>
      </c>
      <c r="AU39">
        <v>198.20312899999999</v>
      </c>
      <c r="AV39">
        <v>198.401296</v>
      </c>
      <c r="AW39">
        <v>198.599661</v>
      </c>
      <c r="AX39">
        <v>198.79822300000001</v>
      </c>
      <c r="AY39">
        <v>198.996985</v>
      </c>
    </row>
    <row r="40" spans="6:51" x14ac:dyDescent="0.2">
      <c r="T40">
        <v>105.698201</v>
      </c>
      <c r="U40">
        <v>121.211339</v>
      </c>
      <c r="V40">
        <v>143.77131700000001</v>
      </c>
      <c r="W40">
        <v>151.00348299999999</v>
      </c>
      <c r="X40">
        <v>158.24430000000001</v>
      </c>
      <c r="Y40">
        <v>164.48333600000001</v>
      </c>
      <c r="Z40">
        <v>167.256821</v>
      </c>
      <c r="AA40">
        <v>169.38049599999999</v>
      </c>
      <c r="AB40">
        <v>170.776578</v>
      </c>
      <c r="AC40">
        <v>171.908432</v>
      </c>
      <c r="AD40">
        <v>172.77916400000001</v>
      </c>
      <c r="AE40">
        <v>173.439404</v>
      </c>
      <c r="AF40">
        <v>173.98330300000001</v>
      </c>
      <c r="AG40">
        <v>174.42755199999999</v>
      </c>
      <c r="AH40">
        <v>174.79549499999999</v>
      </c>
      <c r="AI40">
        <v>175.10931299999999</v>
      </c>
      <c r="AJ40">
        <v>175.37880799999999</v>
      </c>
      <c r="AK40">
        <v>175.615039</v>
      </c>
      <c r="AL40">
        <v>175.82854</v>
      </c>
      <c r="AM40">
        <v>176.02730700000001</v>
      </c>
      <c r="AN40">
        <v>176.21607700000001</v>
      </c>
      <c r="AO40">
        <v>176.39869899999999</v>
      </c>
      <c r="AP40">
        <v>176.577889</v>
      </c>
      <c r="AQ40">
        <v>176.75536399999999</v>
      </c>
      <c r="AR40">
        <v>176.93226100000001</v>
      </c>
      <c r="AS40">
        <v>177.10916</v>
      </c>
      <c r="AT40">
        <v>177.286237</v>
      </c>
      <c r="AU40">
        <v>177.46349000000001</v>
      </c>
      <c r="AV40">
        <v>177.64092099999999</v>
      </c>
      <c r="AW40">
        <v>177.81852900000001</v>
      </c>
      <c r="AX40">
        <v>177.99631500000001</v>
      </c>
      <c r="AY40">
        <v>178.17427799999999</v>
      </c>
    </row>
    <row r="41" spans="6:51" x14ac:dyDescent="0.2">
      <c r="Q41">
        <v>96.373930000000001</v>
      </c>
      <c r="R41">
        <v>111.089763</v>
      </c>
      <c r="S41">
        <v>132.61916500000001</v>
      </c>
      <c r="T41">
        <v>139.05244999999999</v>
      </c>
      <c r="U41">
        <v>144.70683600000001</v>
      </c>
      <c r="V41">
        <v>147.55328700000001</v>
      </c>
      <c r="W41">
        <v>149.934461</v>
      </c>
      <c r="X41">
        <v>151.65920399999999</v>
      </c>
      <c r="Y41">
        <v>152.659763</v>
      </c>
      <c r="Z41">
        <v>153.42258100000001</v>
      </c>
      <c r="AA41">
        <v>153.99450200000001</v>
      </c>
      <c r="AB41">
        <v>154.46247199999999</v>
      </c>
      <c r="AC41">
        <v>154.843355</v>
      </c>
      <c r="AD41">
        <v>155.16018199999999</v>
      </c>
      <c r="AE41">
        <v>155.43442300000001</v>
      </c>
      <c r="AF41">
        <v>155.67485099999999</v>
      </c>
      <c r="AG41">
        <v>155.89003</v>
      </c>
      <c r="AH41">
        <v>156.08674999999999</v>
      </c>
      <c r="AI41">
        <v>156.26951099999999</v>
      </c>
      <c r="AJ41">
        <v>156.44243800000001</v>
      </c>
      <c r="AK41">
        <v>156.608879</v>
      </c>
      <c r="AL41">
        <v>156.77120199999999</v>
      </c>
      <c r="AM41">
        <v>156.93095500000001</v>
      </c>
      <c r="AN41">
        <v>157.08927199999999</v>
      </c>
      <c r="AO41">
        <v>157.24689799999999</v>
      </c>
      <c r="AP41">
        <v>157.40428299999999</v>
      </c>
      <c r="AQ41">
        <v>157.56168600000001</v>
      </c>
      <c r="AR41">
        <v>157.71921900000001</v>
      </c>
      <c r="AS41">
        <v>157.87690900000001</v>
      </c>
      <c r="AT41">
        <v>158.03475700000001</v>
      </c>
      <c r="AU41">
        <v>158.19276199999999</v>
      </c>
      <c r="AV41">
        <v>158.35092599999999</v>
      </c>
      <c r="AW41">
        <v>158.50924699999999</v>
      </c>
      <c r="AX41">
        <v>158.66772700000001</v>
      </c>
      <c r="AY41">
        <v>158.82636600000001</v>
      </c>
    </row>
    <row r="42" spans="6:51" x14ac:dyDescent="0.2">
      <c r="O42">
        <v>99.302214000000006</v>
      </c>
      <c r="P42">
        <v>118.88524200000001</v>
      </c>
      <c r="Q42">
        <v>124.720038</v>
      </c>
      <c r="R42">
        <v>129.73897400000001</v>
      </c>
      <c r="S42">
        <v>131.94210899999999</v>
      </c>
      <c r="T42">
        <v>133.59536399999999</v>
      </c>
      <c r="U42">
        <v>134.63233099999999</v>
      </c>
      <c r="V42">
        <v>135.43786800000001</v>
      </c>
      <c r="W42">
        <v>136.01968199999999</v>
      </c>
      <c r="X42">
        <v>136.430204</v>
      </c>
      <c r="Y42">
        <v>136.762631</v>
      </c>
      <c r="Z42">
        <v>137.03828899999999</v>
      </c>
      <c r="AA42">
        <v>137.277098</v>
      </c>
      <c r="AB42">
        <v>137.48734899999999</v>
      </c>
      <c r="AC42">
        <v>137.676942</v>
      </c>
      <c r="AD42">
        <v>137.851856</v>
      </c>
      <c r="AE42">
        <v>138.01563100000001</v>
      </c>
      <c r="AF42">
        <v>138.171268</v>
      </c>
      <c r="AG42">
        <v>138.32106200000001</v>
      </c>
      <c r="AH42">
        <v>138.46670700000001</v>
      </c>
      <c r="AI42">
        <v>138.609587</v>
      </c>
      <c r="AJ42">
        <v>138.750732</v>
      </c>
      <c r="AK42">
        <v>138.89084700000001</v>
      </c>
      <c r="AL42">
        <v>139.03039999999999</v>
      </c>
      <c r="AM42">
        <v>139.16970699999999</v>
      </c>
      <c r="AN42">
        <v>139.30896100000001</v>
      </c>
      <c r="AO42">
        <v>139.448275</v>
      </c>
      <c r="AP42">
        <v>139.58770200000001</v>
      </c>
      <c r="AQ42">
        <v>139.72726299999999</v>
      </c>
      <c r="AR42">
        <v>139.86696499999999</v>
      </c>
      <c r="AS42">
        <v>140.00680600000001</v>
      </c>
      <c r="AT42">
        <v>140.14678699999999</v>
      </c>
      <c r="AU42">
        <v>140.28690800000001</v>
      </c>
      <c r="AV42">
        <v>140.42716899999999</v>
      </c>
      <c r="AW42">
        <v>140.56756999999999</v>
      </c>
      <c r="AX42">
        <v>140.708111</v>
      </c>
      <c r="AY42">
        <v>140.848794</v>
      </c>
    </row>
    <row r="43" spans="6:51" x14ac:dyDescent="0.2">
      <c r="M43">
        <v>91.250778999999994</v>
      </c>
      <c r="N43">
        <v>110.272558</v>
      </c>
      <c r="O43">
        <v>114.748856</v>
      </c>
      <c r="P43">
        <v>116.63842099999999</v>
      </c>
      <c r="Q43">
        <v>117.99229200000001</v>
      </c>
      <c r="R43">
        <v>118.754559</v>
      </c>
      <c r="S43">
        <v>119.318443</v>
      </c>
      <c r="T43">
        <v>119.723968</v>
      </c>
      <c r="U43">
        <v>120.045295</v>
      </c>
      <c r="V43">
        <v>120.299263</v>
      </c>
      <c r="W43">
        <v>120.508043</v>
      </c>
      <c r="X43">
        <v>120.69169599999999</v>
      </c>
      <c r="Y43">
        <v>120.857463</v>
      </c>
      <c r="Z43">
        <v>121.010791</v>
      </c>
      <c r="AA43">
        <v>121.154844</v>
      </c>
      <c r="AB43">
        <v>121.29221699999999</v>
      </c>
      <c r="AC43">
        <v>121.424789</v>
      </c>
      <c r="AD43">
        <v>121.553853</v>
      </c>
      <c r="AE43">
        <v>121.680436</v>
      </c>
      <c r="AF43">
        <v>121.805312</v>
      </c>
      <c r="AG43">
        <v>121.929058</v>
      </c>
      <c r="AH43">
        <v>122.052108</v>
      </c>
      <c r="AI43">
        <v>122.17477</v>
      </c>
      <c r="AJ43">
        <v>122.297248</v>
      </c>
      <c r="AK43">
        <v>122.419675</v>
      </c>
      <c r="AL43">
        <v>122.542135</v>
      </c>
      <c r="AM43">
        <v>122.664676</v>
      </c>
      <c r="AN43">
        <v>122.787323</v>
      </c>
      <c r="AO43">
        <v>122.910088</v>
      </c>
      <c r="AP43">
        <v>123.03297600000001</v>
      </c>
      <c r="AQ43">
        <v>123.155986</v>
      </c>
      <c r="AR43">
        <v>123.27911899999999</v>
      </c>
      <c r="AS43">
        <v>123.40237500000001</v>
      </c>
      <c r="AT43">
        <v>123.525755</v>
      </c>
      <c r="AU43">
        <v>123.649258</v>
      </c>
      <c r="AV43">
        <v>123.772884</v>
      </c>
      <c r="AW43">
        <v>123.89663400000001</v>
      </c>
      <c r="AX43">
        <v>124.02050800000001</v>
      </c>
      <c r="AY43">
        <v>124.14450600000001</v>
      </c>
    </row>
    <row r="44" spans="6:51" x14ac:dyDescent="0.2">
      <c r="K44">
        <v>80.913038</v>
      </c>
      <c r="L44">
        <v>98.192521999999997</v>
      </c>
      <c r="M44">
        <v>102.060039</v>
      </c>
      <c r="N44">
        <v>103.223266</v>
      </c>
      <c r="O44">
        <v>103.844251</v>
      </c>
      <c r="P44">
        <v>104.283446</v>
      </c>
      <c r="Q44">
        <v>104.583629</v>
      </c>
      <c r="R44">
        <v>104.820925</v>
      </c>
      <c r="S44">
        <v>105.01370199999999</v>
      </c>
      <c r="T44">
        <v>105.179222</v>
      </c>
      <c r="U44">
        <v>105.325019</v>
      </c>
      <c r="V44">
        <v>105.45801</v>
      </c>
      <c r="W44">
        <v>105.583051</v>
      </c>
      <c r="X44">
        <v>105.702468</v>
      </c>
      <c r="Y44">
        <v>105.817913</v>
      </c>
      <c r="Z44">
        <v>105.93048899999999</v>
      </c>
      <c r="AA44">
        <v>106.04104</v>
      </c>
      <c r="AB44">
        <v>106.150176</v>
      </c>
      <c r="AC44">
        <v>106.258336</v>
      </c>
      <c r="AD44">
        <v>106.365855</v>
      </c>
      <c r="AE44">
        <v>106.472976</v>
      </c>
      <c r="AF44">
        <v>106.57987799999999</v>
      </c>
      <c r="AG44">
        <v>106.686684</v>
      </c>
      <c r="AH44">
        <v>106.793477</v>
      </c>
      <c r="AI44">
        <v>106.900311</v>
      </c>
      <c r="AJ44">
        <v>107.007216</v>
      </c>
      <c r="AK44">
        <v>107.11421300000001</v>
      </c>
      <c r="AL44">
        <v>107.22130900000001</v>
      </c>
      <c r="AM44">
        <v>107.32851100000001</v>
      </c>
      <c r="AN44">
        <v>107.43582000000001</v>
      </c>
      <c r="AO44">
        <v>107.54323599999999</v>
      </c>
      <c r="AP44">
        <v>107.65075899999999</v>
      </c>
      <c r="AQ44">
        <v>107.75839000000001</v>
      </c>
      <c r="AR44">
        <v>107.866129</v>
      </c>
      <c r="AS44">
        <v>107.973975</v>
      </c>
      <c r="AT44">
        <v>108.081929</v>
      </c>
      <c r="AU44">
        <v>108.18999100000001</v>
      </c>
      <c r="AV44">
        <v>108.29816099999999</v>
      </c>
      <c r="AW44">
        <v>108.40643900000001</v>
      </c>
      <c r="AX44">
        <v>108.514825</v>
      </c>
      <c r="AY44">
        <v>108.62332000000001</v>
      </c>
    </row>
    <row r="45" spans="6:51" x14ac:dyDescent="0.2">
      <c r="I45">
        <v>70.397506000000007</v>
      </c>
      <c r="J45">
        <v>85.675561999999999</v>
      </c>
      <c r="K45">
        <v>89.058338000000006</v>
      </c>
      <c r="L45">
        <v>89.938019999999995</v>
      </c>
      <c r="M45">
        <v>90.298382000000004</v>
      </c>
      <c r="N45">
        <v>90.534375999999995</v>
      </c>
      <c r="O45">
        <v>90.716656999999998</v>
      </c>
      <c r="P45">
        <v>90.863440999999995</v>
      </c>
      <c r="Q45">
        <v>90.991273000000007</v>
      </c>
      <c r="R45">
        <v>91.106317000000004</v>
      </c>
      <c r="S45">
        <v>91.213183999999998</v>
      </c>
      <c r="T45">
        <v>91.314487999999997</v>
      </c>
      <c r="U45">
        <v>91.412244999999999</v>
      </c>
      <c r="V45">
        <v>91.507750000000001</v>
      </c>
      <c r="W45">
        <v>91.601738999999995</v>
      </c>
      <c r="X45">
        <v>91.694731000000004</v>
      </c>
      <c r="Y45">
        <v>91.787085000000005</v>
      </c>
      <c r="Z45">
        <v>91.879062000000005</v>
      </c>
      <c r="AA45">
        <v>91.970849000000001</v>
      </c>
      <c r="AB45">
        <v>92.062573</v>
      </c>
      <c r="AC45">
        <v>92.154324000000003</v>
      </c>
      <c r="AD45">
        <v>92.246160000000003</v>
      </c>
      <c r="AE45">
        <v>92.338116999999997</v>
      </c>
      <c r="AF45">
        <v>92.430211999999997</v>
      </c>
      <c r="AG45">
        <v>92.522448999999995</v>
      </c>
      <c r="AH45">
        <v>92.614827000000005</v>
      </c>
      <c r="AI45">
        <v>92.707339000000005</v>
      </c>
      <c r="AJ45">
        <v>92.799975000000003</v>
      </c>
      <c r="AK45">
        <v>92.892726999999994</v>
      </c>
      <c r="AL45">
        <v>92.985585999999998</v>
      </c>
      <c r="AM45">
        <v>93.078547999999998</v>
      </c>
      <c r="AN45">
        <v>93.171605999999997</v>
      </c>
      <c r="AO45">
        <v>93.264759999999995</v>
      </c>
      <c r="AP45">
        <v>93.358007999999998</v>
      </c>
      <c r="AQ45">
        <v>93.451347999999996</v>
      </c>
      <c r="AR45">
        <v>93.544781999999998</v>
      </c>
      <c r="AS45">
        <v>93.638310000000004</v>
      </c>
      <c r="AT45">
        <v>93.731931000000003</v>
      </c>
      <c r="AU45">
        <v>93.825644999999994</v>
      </c>
      <c r="AV45">
        <v>93.919454000000002</v>
      </c>
      <c r="AW45">
        <v>94.013356000000002</v>
      </c>
      <c r="AX45">
        <v>94.107352000000006</v>
      </c>
      <c r="AY45">
        <v>94.201442</v>
      </c>
    </row>
    <row r="46" spans="6:51" x14ac:dyDescent="0.2">
      <c r="H46">
        <v>73.645995999999997</v>
      </c>
      <c r="I46">
        <v>76.590394000000003</v>
      </c>
      <c r="J46">
        <v>77.307907</v>
      </c>
      <c r="K46">
        <v>77.553190000000001</v>
      </c>
      <c r="L46">
        <v>77.694362999999996</v>
      </c>
      <c r="M46">
        <v>77.805283000000003</v>
      </c>
      <c r="N46">
        <v>77.901263</v>
      </c>
      <c r="O46">
        <v>77.987995999999995</v>
      </c>
      <c r="P46">
        <v>78.069485</v>
      </c>
      <c r="Q46">
        <v>78.147653000000005</v>
      </c>
      <c r="R46">
        <v>78.223823999999993</v>
      </c>
      <c r="S46">
        <v>78.298833000000002</v>
      </c>
      <c r="T46">
        <v>78.373266000000001</v>
      </c>
      <c r="U46">
        <v>78.447496999999998</v>
      </c>
      <c r="V46">
        <v>78.52176</v>
      </c>
      <c r="W46">
        <v>78.596214000000003</v>
      </c>
      <c r="X46">
        <v>78.670969999999997</v>
      </c>
      <c r="Y46">
        <v>78.746099000000001</v>
      </c>
      <c r="Z46">
        <v>78.821646000000001</v>
      </c>
      <c r="AA46">
        <v>78.897634999999994</v>
      </c>
      <c r="AB46">
        <v>78.974070999999995</v>
      </c>
      <c r="AC46">
        <v>79.050949000000003</v>
      </c>
      <c r="AD46">
        <v>79.128251000000006</v>
      </c>
      <c r="AE46">
        <v>79.205952999999994</v>
      </c>
      <c r="AF46">
        <v>79.284024000000002</v>
      </c>
      <c r="AG46">
        <v>79.362430000000003</v>
      </c>
      <c r="AH46">
        <v>79.441134000000005</v>
      </c>
      <c r="AI46">
        <v>79.520099999999999</v>
      </c>
      <c r="AJ46">
        <v>79.599292000000005</v>
      </c>
      <c r="AK46">
        <v>79.678674000000001</v>
      </c>
      <c r="AL46">
        <v>79.758217999999999</v>
      </c>
      <c r="AM46">
        <v>79.837896000000001</v>
      </c>
      <c r="AN46">
        <v>79.917688999999996</v>
      </c>
      <c r="AO46">
        <v>79.997579000000002</v>
      </c>
      <c r="AP46">
        <v>80.077558999999994</v>
      </c>
      <c r="AQ46">
        <v>80.157621000000006</v>
      </c>
      <c r="AR46">
        <v>80.237763999999999</v>
      </c>
      <c r="AS46">
        <v>80.317987000000002</v>
      </c>
      <c r="AT46">
        <v>80.398290000000003</v>
      </c>
      <c r="AU46">
        <v>80.478673000000001</v>
      </c>
      <c r="AV46">
        <v>80.559137000000007</v>
      </c>
      <c r="AW46">
        <v>80.639680999999996</v>
      </c>
      <c r="AX46">
        <v>80.720305999999994</v>
      </c>
      <c r="AY46">
        <v>80.801011000000003</v>
      </c>
    </row>
    <row r="47" spans="6:51" x14ac:dyDescent="0.2">
      <c r="G47">
        <v>64.963092000000003</v>
      </c>
      <c r="H47">
        <v>65.559455999999997</v>
      </c>
      <c r="I47">
        <v>65.737516999999997</v>
      </c>
      <c r="J47">
        <v>65.825136999999998</v>
      </c>
      <c r="K47">
        <v>65.891101000000006</v>
      </c>
      <c r="L47">
        <v>65.949759</v>
      </c>
      <c r="M47">
        <v>66.004733000000002</v>
      </c>
      <c r="N47">
        <v>66.057683999999995</v>
      </c>
      <c r="O47">
        <v>66.109684999999999</v>
      </c>
      <c r="P47">
        <v>66.161336000000006</v>
      </c>
      <c r="Q47">
        <v>66.213049999999996</v>
      </c>
      <c r="R47">
        <v>66.265097999999995</v>
      </c>
      <c r="S47">
        <v>66.317672999999999</v>
      </c>
      <c r="T47">
        <v>66.370901000000003</v>
      </c>
      <c r="U47">
        <v>66.424870999999996</v>
      </c>
      <c r="V47">
        <v>66.479645000000005</v>
      </c>
      <c r="W47">
        <v>66.535268000000002</v>
      </c>
      <c r="X47">
        <v>66.591768000000002</v>
      </c>
      <c r="Y47">
        <v>66.649163000000001</v>
      </c>
      <c r="Z47">
        <v>66.707458000000003</v>
      </c>
      <c r="AA47">
        <v>66.766651999999993</v>
      </c>
      <c r="AB47">
        <v>66.826732000000007</v>
      </c>
      <c r="AC47">
        <v>66.887679000000006</v>
      </c>
      <c r="AD47">
        <v>66.949466000000001</v>
      </c>
      <c r="AE47">
        <v>67.012057999999996</v>
      </c>
      <c r="AF47">
        <v>67.075412</v>
      </c>
      <c r="AG47">
        <v>67.139480000000006</v>
      </c>
      <c r="AH47">
        <v>67.204205999999999</v>
      </c>
      <c r="AI47">
        <v>67.269529000000006</v>
      </c>
      <c r="AJ47">
        <v>67.335380000000001</v>
      </c>
      <c r="AK47">
        <v>67.401691999999997</v>
      </c>
      <c r="AL47">
        <v>67.468390999999997</v>
      </c>
      <c r="AM47">
        <v>67.535407000000006</v>
      </c>
      <c r="AN47">
        <v>67.602675000000005</v>
      </c>
      <c r="AO47">
        <v>67.670134000000004</v>
      </c>
      <c r="AP47">
        <v>67.737735000000001</v>
      </c>
      <c r="AQ47">
        <v>67.805441999999999</v>
      </c>
      <c r="AR47">
        <v>67.873231000000004</v>
      </c>
      <c r="AS47">
        <v>67.941091999999998</v>
      </c>
      <c r="AT47">
        <v>68.009020000000007</v>
      </c>
      <c r="AU47">
        <v>68.077016999999998</v>
      </c>
      <c r="AV47">
        <v>68.145081000000005</v>
      </c>
      <c r="AW47">
        <v>68.213213999999994</v>
      </c>
      <c r="AX47">
        <v>68.281413999999998</v>
      </c>
      <c r="AY47">
        <v>68.349682999999999</v>
      </c>
    </row>
    <row r="48" spans="6:51" x14ac:dyDescent="0.2">
      <c r="F48">
        <v>54.795811999999998</v>
      </c>
      <c r="G48">
        <v>54.923074999999997</v>
      </c>
      <c r="H48">
        <v>54.971474999999998</v>
      </c>
      <c r="I48">
        <v>55.002428000000002</v>
      </c>
      <c r="J48">
        <v>55.028989000000003</v>
      </c>
      <c r="K48">
        <v>55.054119</v>
      </c>
      <c r="L48">
        <v>55.078754000000004</v>
      </c>
      <c r="M48">
        <v>55.103397999999999</v>
      </c>
      <c r="N48">
        <v>55.128382000000002</v>
      </c>
      <c r="O48">
        <v>55.153919000000002</v>
      </c>
      <c r="P48">
        <v>55.180166</v>
      </c>
      <c r="Q48">
        <v>55.207239999999999</v>
      </c>
      <c r="R48">
        <v>55.235233999999998</v>
      </c>
      <c r="S48">
        <v>55.264221999999997</v>
      </c>
      <c r="T48">
        <v>55.294269</v>
      </c>
      <c r="U48">
        <v>55.325429999999997</v>
      </c>
      <c r="V48">
        <v>55.357754</v>
      </c>
      <c r="W48">
        <v>55.391288000000003</v>
      </c>
      <c r="X48">
        <v>55.426071</v>
      </c>
      <c r="Y48">
        <v>55.462139999999998</v>
      </c>
      <c r="Z48">
        <v>55.499526000000003</v>
      </c>
      <c r="AA48">
        <v>55.538257000000002</v>
      </c>
      <c r="AB48">
        <v>55.578353</v>
      </c>
      <c r="AC48">
        <v>55.61983</v>
      </c>
      <c r="AD48">
        <v>55.662694999999999</v>
      </c>
      <c r="AE48">
        <v>55.706947999999997</v>
      </c>
      <c r="AF48">
        <v>55.752578</v>
      </c>
      <c r="AG48">
        <v>55.799562000000002</v>
      </c>
      <c r="AH48">
        <v>55.847864000000001</v>
      </c>
      <c r="AI48">
        <v>55.897433999999997</v>
      </c>
      <c r="AJ48">
        <v>55.948205999999999</v>
      </c>
      <c r="AK48">
        <v>56.000093999999997</v>
      </c>
      <c r="AL48">
        <v>56.052998000000002</v>
      </c>
      <c r="AM48">
        <v>56.1068</v>
      </c>
      <c r="AN48">
        <v>56.161366000000001</v>
      </c>
      <c r="AO48">
        <v>56.216555</v>
      </c>
      <c r="AP48">
        <v>56.272221000000002</v>
      </c>
      <c r="AQ48">
        <v>56.328226999999998</v>
      </c>
      <c r="AR48">
        <v>56.384452000000003</v>
      </c>
      <c r="AS48">
        <v>56.440806000000002</v>
      </c>
      <c r="AT48">
        <v>56.497236999999998</v>
      </c>
      <c r="AU48">
        <v>56.553724000000003</v>
      </c>
      <c r="AV48">
        <v>56.610267</v>
      </c>
      <c r="AW48">
        <v>56.666867000000003</v>
      </c>
      <c r="AX48">
        <v>56.723523</v>
      </c>
      <c r="AY48">
        <v>56.780236000000002</v>
      </c>
    </row>
    <row r="49" spans="1:51" x14ac:dyDescent="0.2">
      <c r="E49">
        <v>45.160992</v>
      </c>
      <c r="F49">
        <v>45.175376999999997</v>
      </c>
      <c r="G49">
        <v>45.174875999999998</v>
      </c>
      <c r="H49">
        <v>45.171081000000001</v>
      </c>
      <c r="I49">
        <v>45.166550999999998</v>
      </c>
      <c r="J49">
        <v>45.161960000000001</v>
      </c>
      <c r="K49">
        <v>45.157589000000002</v>
      </c>
      <c r="L49">
        <v>45.153613</v>
      </c>
      <c r="M49">
        <v>45.150163999999997</v>
      </c>
      <c r="N49">
        <v>45.147342000000002</v>
      </c>
      <c r="O49">
        <v>45.145234000000002</v>
      </c>
      <c r="P49">
        <v>45.143917000000002</v>
      </c>
      <c r="Q49">
        <v>45.143462999999997</v>
      </c>
      <c r="R49">
        <v>45.143942000000003</v>
      </c>
      <c r="S49">
        <v>45.145423000000001</v>
      </c>
      <c r="T49">
        <v>45.147976</v>
      </c>
      <c r="U49">
        <v>45.151671999999998</v>
      </c>
      <c r="V49">
        <v>45.156582999999998</v>
      </c>
      <c r="W49">
        <v>45.162785999999997</v>
      </c>
      <c r="X49">
        <v>45.170355999999998</v>
      </c>
      <c r="Y49">
        <v>45.179372999999998</v>
      </c>
      <c r="Z49">
        <v>45.189919000000003</v>
      </c>
      <c r="AA49">
        <v>45.202075000000001</v>
      </c>
      <c r="AB49">
        <v>45.215926000000003</v>
      </c>
      <c r="AC49">
        <v>45.231555999999998</v>
      </c>
      <c r="AD49">
        <v>45.249048000000002</v>
      </c>
      <c r="AE49">
        <v>45.268481000000001</v>
      </c>
      <c r="AF49">
        <v>45.289934000000002</v>
      </c>
      <c r="AG49">
        <v>45.313473999999999</v>
      </c>
      <c r="AH49">
        <v>45.33916</v>
      </c>
      <c r="AI49">
        <v>45.367038999999998</v>
      </c>
      <c r="AJ49">
        <v>45.397137000000001</v>
      </c>
      <c r="AK49">
        <v>45.429454999999997</v>
      </c>
      <c r="AL49">
        <v>45.463965999999999</v>
      </c>
      <c r="AM49">
        <v>45.500602999999998</v>
      </c>
      <c r="AN49">
        <v>45.539254</v>
      </c>
      <c r="AO49">
        <v>45.579756000000003</v>
      </c>
      <c r="AP49">
        <v>45.621889000000003</v>
      </c>
      <c r="AQ49">
        <v>45.665380999999996</v>
      </c>
      <c r="AR49">
        <v>45.709915000000002</v>
      </c>
      <c r="AS49">
        <v>45.755155999999999</v>
      </c>
      <c r="AT49">
        <v>45.800789999999999</v>
      </c>
      <c r="AU49">
        <v>45.846581999999998</v>
      </c>
      <c r="AV49">
        <v>45.892420000000001</v>
      </c>
      <c r="AW49">
        <v>45.938304000000002</v>
      </c>
      <c r="AX49">
        <v>45.984234000000001</v>
      </c>
      <c r="AY49">
        <v>46.030209999999997</v>
      </c>
    </row>
    <row r="50" spans="1:51" x14ac:dyDescent="0.2">
      <c r="D50">
        <v>36.47589</v>
      </c>
      <c r="E50">
        <v>36.446587999999998</v>
      </c>
      <c r="F50">
        <v>36.414313</v>
      </c>
      <c r="G50">
        <v>36.38129</v>
      </c>
      <c r="H50">
        <v>36.348053</v>
      </c>
      <c r="I50">
        <v>36.314779000000001</v>
      </c>
      <c r="J50">
        <v>36.281568</v>
      </c>
      <c r="K50">
        <v>36.248491999999999</v>
      </c>
      <c r="L50">
        <v>36.215615999999997</v>
      </c>
      <c r="M50">
        <v>36.182996000000003</v>
      </c>
      <c r="N50">
        <v>36.150688000000002</v>
      </c>
      <c r="O50">
        <v>36.118746999999999</v>
      </c>
      <c r="P50">
        <v>36.087229999999998</v>
      </c>
      <c r="Q50">
        <v>36.056196999999997</v>
      </c>
      <c r="R50">
        <v>36.025711000000001</v>
      </c>
      <c r="S50">
        <v>35.995837999999999</v>
      </c>
      <c r="T50">
        <v>35.966653000000001</v>
      </c>
      <c r="U50">
        <v>35.938231999999999</v>
      </c>
      <c r="V50">
        <v>35.91066</v>
      </c>
      <c r="W50">
        <v>35.884028000000001</v>
      </c>
      <c r="X50">
        <v>35.858435999999998</v>
      </c>
      <c r="Y50">
        <v>35.833990999999997</v>
      </c>
      <c r="Z50">
        <v>35.810808000000002</v>
      </c>
      <c r="AA50">
        <v>35.789014000000002</v>
      </c>
      <c r="AB50">
        <v>35.768746</v>
      </c>
      <c r="AC50">
        <v>35.750149999999998</v>
      </c>
      <c r="AD50">
        <v>35.733384999999998</v>
      </c>
      <c r="AE50">
        <v>35.718623000000001</v>
      </c>
      <c r="AF50">
        <v>35.706046000000001</v>
      </c>
      <c r="AG50">
        <v>35.695849000000003</v>
      </c>
      <c r="AH50">
        <v>35.688239000000003</v>
      </c>
      <c r="AI50">
        <v>35.683430000000001</v>
      </c>
      <c r="AJ50">
        <v>35.681643999999999</v>
      </c>
      <c r="AK50">
        <v>35.683104999999998</v>
      </c>
      <c r="AL50">
        <v>35.688029</v>
      </c>
      <c r="AM50">
        <v>35.696618999999998</v>
      </c>
      <c r="AN50">
        <v>35.709041999999997</v>
      </c>
      <c r="AO50">
        <v>35.725414000000001</v>
      </c>
      <c r="AP50">
        <v>35.745767999999998</v>
      </c>
      <c r="AQ50">
        <v>35.770018</v>
      </c>
      <c r="AR50">
        <v>35.797913000000001</v>
      </c>
      <c r="AS50">
        <v>35.828997000000001</v>
      </c>
      <c r="AT50">
        <v>35.862583000000001</v>
      </c>
      <c r="AU50">
        <v>35.897787000000001</v>
      </c>
      <c r="AV50">
        <v>35.933678</v>
      </c>
      <c r="AW50">
        <v>35.969605000000001</v>
      </c>
      <c r="AX50">
        <v>36.005567999999997</v>
      </c>
      <c r="AY50">
        <v>36.041567000000001</v>
      </c>
    </row>
    <row r="51" spans="1:51" x14ac:dyDescent="0.2">
      <c r="C51">
        <v>28.844819999999999</v>
      </c>
      <c r="D51">
        <v>28.787869000000001</v>
      </c>
      <c r="E51">
        <v>28.729875</v>
      </c>
      <c r="F51">
        <v>28.671271000000001</v>
      </c>
      <c r="G51">
        <v>28.612172000000001</v>
      </c>
      <c r="H51">
        <v>28.552624999999999</v>
      </c>
      <c r="I51">
        <v>28.492661999999999</v>
      </c>
      <c r="J51">
        <v>28.432304999999999</v>
      </c>
      <c r="K51">
        <v>28.371579000000001</v>
      </c>
      <c r="L51">
        <v>28.310506</v>
      </c>
      <c r="M51">
        <v>28.249108</v>
      </c>
      <c r="N51">
        <v>28.18741</v>
      </c>
      <c r="O51">
        <v>28.125439</v>
      </c>
      <c r="P51">
        <v>28.063223000000001</v>
      </c>
      <c r="Q51">
        <v>28.000796999999999</v>
      </c>
      <c r="R51">
        <v>27.938195</v>
      </c>
      <c r="S51">
        <v>27.875461000000001</v>
      </c>
      <c r="T51">
        <v>27.812639999999998</v>
      </c>
      <c r="U51">
        <v>27.749783999999998</v>
      </c>
      <c r="V51">
        <v>27.686952999999999</v>
      </c>
      <c r="W51">
        <v>27.624213000000001</v>
      </c>
      <c r="X51">
        <v>27.561641000000002</v>
      </c>
      <c r="Y51">
        <v>27.499320999999998</v>
      </c>
      <c r="Z51">
        <v>27.437353000000002</v>
      </c>
      <c r="AA51">
        <v>27.375845000000002</v>
      </c>
      <c r="AB51">
        <v>27.314924000000001</v>
      </c>
      <c r="AC51">
        <v>27.254733999999999</v>
      </c>
      <c r="AD51">
        <v>27.195436999999998</v>
      </c>
      <c r="AE51">
        <v>27.137219999999999</v>
      </c>
      <c r="AF51">
        <v>27.080297000000002</v>
      </c>
      <c r="AG51">
        <v>27.024909999999998</v>
      </c>
      <c r="AH51">
        <v>26.971340999999999</v>
      </c>
      <c r="AI51">
        <v>26.919909000000001</v>
      </c>
      <c r="AJ51">
        <v>26.870982000000001</v>
      </c>
      <c r="AK51">
        <v>26.824981000000001</v>
      </c>
      <c r="AL51">
        <v>26.782385000000001</v>
      </c>
      <c r="AM51">
        <v>26.743739999999999</v>
      </c>
      <c r="AN51">
        <v>26.709664</v>
      </c>
      <c r="AO51">
        <v>26.680841000000001</v>
      </c>
      <c r="AP51">
        <v>26.658017000000001</v>
      </c>
      <c r="AQ51">
        <v>26.641971000000002</v>
      </c>
      <c r="AR51">
        <v>26.633458999999998</v>
      </c>
      <c r="AS51">
        <v>26.633103999999999</v>
      </c>
      <c r="AT51">
        <v>26.641199</v>
      </c>
      <c r="AU51">
        <v>26.657399000000002</v>
      </c>
      <c r="AV51">
        <v>26.680277</v>
      </c>
      <c r="AW51">
        <v>26.706952000000001</v>
      </c>
      <c r="AX51">
        <v>26.733654000000001</v>
      </c>
      <c r="AY51">
        <v>26.760383000000001</v>
      </c>
    </row>
    <row r="52" spans="1:51" x14ac:dyDescent="0.2">
      <c r="B52">
        <v>22.295672</v>
      </c>
      <c r="C52">
        <v>22.218665999999999</v>
      </c>
      <c r="D52">
        <v>22.140654000000001</v>
      </c>
      <c r="E52">
        <v>22.061703999999999</v>
      </c>
      <c r="F52">
        <v>21.981829000000001</v>
      </c>
      <c r="G52">
        <v>21.901022999999999</v>
      </c>
      <c r="H52">
        <v>21.819279000000002</v>
      </c>
      <c r="I52">
        <v>21.736585000000002</v>
      </c>
      <c r="J52">
        <v>21.652930000000001</v>
      </c>
      <c r="K52">
        <v>21.568301000000002</v>
      </c>
      <c r="L52">
        <v>21.482686999999999</v>
      </c>
      <c r="M52">
        <v>21.396073000000001</v>
      </c>
      <c r="N52">
        <v>21.308447000000001</v>
      </c>
      <c r="O52">
        <v>21.219797</v>
      </c>
      <c r="P52">
        <v>21.130110999999999</v>
      </c>
      <c r="Q52">
        <v>21.039376000000001</v>
      </c>
      <c r="R52">
        <v>20.947583000000002</v>
      </c>
      <c r="S52">
        <v>20.854724000000001</v>
      </c>
      <c r="T52">
        <v>20.760788999999999</v>
      </c>
      <c r="U52">
        <v>20.665773000000002</v>
      </c>
      <c r="V52">
        <v>20.569673999999999</v>
      </c>
      <c r="W52">
        <v>20.472490000000001</v>
      </c>
      <c r="X52">
        <v>20.374226</v>
      </c>
      <c r="Y52">
        <v>20.274889999999999</v>
      </c>
      <c r="Z52">
        <v>20.174493999999999</v>
      </c>
      <c r="AA52">
        <v>20.073059000000001</v>
      </c>
      <c r="AB52">
        <v>19.970614999999999</v>
      </c>
      <c r="AC52">
        <v>19.867198999999999</v>
      </c>
      <c r="AD52">
        <v>19.762865000000001</v>
      </c>
      <c r="AE52">
        <v>19.657679999999999</v>
      </c>
      <c r="AF52">
        <v>19.551732000000001</v>
      </c>
      <c r="AG52">
        <v>19.445133999999999</v>
      </c>
      <c r="AH52">
        <v>19.33803</v>
      </c>
      <c r="AI52">
        <v>19.230602999999999</v>
      </c>
      <c r="AJ52">
        <v>19.123086000000001</v>
      </c>
      <c r="AK52">
        <v>19.015778000000001</v>
      </c>
      <c r="AL52">
        <v>18.90906</v>
      </c>
      <c r="AM52">
        <v>18.803419999999999</v>
      </c>
      <c r="AN52">
        <v>18.699490000000001</v>
      </c>
      <c r="AO52">
        <v>18.598085000000001</v>
      </c>
      <c r="AP52">
        <v>18.50027</v>
      </c>
      <c r="AQ52">
        <v>18.407439</v>
      </c>
      <c r="AR52">
        <v>18.321422999999999</v>
      </c>
      <c r="AS52">
        <v>18.244622</v>
      </c>
      <c r="AT52">
        <v>18.180140000000002</v>
      </c>
      <c r="AU52">
        <v>18.131847</v>
      </c>
      <c r="AV52">
        <v>18.104095999999998</v>
      </c>
      <c r="AW52">
        <v>18.100339000000002</v>
      </c>
      <c r="AX52">
        <v>18.118435999999999</v>
      </c>
      <c r="AY52">
        <v>18.136551000000001</v>
      </c>
    </row>
    <row r="53" spans="1:51" x14ac:dyDescent="0.2">
      <c r="A53">
        <v>16.816973999999998</v>
      </c>
      <c r="B53">
        <v>16.727217</v>
      </c>
      <c r="C53">
        <v>16.636244000000001</v>
      </c>
      <c r="D53">
        <v>16.544042999999999</v>
      </c>
      <c r="E53">
        <v>16.450588</v>
      </c>
      <c r="F53">
        <v>16.355848999999999</v>
      </c>
      <c r="G53">
        <v>16.259793999999999</v>
      </c>
      <c r="H53">
        <v>16.162388</v>
      </c>
      <c r="I53">
        <v>16.063593000000001</v>
      </c>
      <c r="J53">
        <v>15.963369999999999</v>
      </c>
      <c r="K53">
        <v>15.86168</v>
      </c>
      <c r="L53">
        <v>15.758478</v>
      </c>
      <c r="M53">
        <v>15.653719000000001</v>
      </c>
      <c r="N53">
        <v>15.547355</v>
      </c>
      <c r="O53">
        <v>15.439335</v>
      </c>
      <c r="P53">
        <v>15.329606</v>
      </c>
      <c r="Q53">
        <v>15.218112</v>
      </c>
      <c r="R53">
        <v>15.104792</v>
      </c>
      <c r="S53">
        <v>14.989583</v>
      </c>
      <c r="T53">
        <v>14.87242</v>
      </c>
      <c r="U53">
        <v>14.75323</v>
      </c>
      <c r="V53">
        <v>14.63194</v>
      </c>
      <c r="W53">
        <v>14.508467</v>
      </c>
      <c r="X53">
        <v>14.382728999999999</v>
      </c>
      <c r="Y53">
        <v>14.254633999999999</v>
      </c>
      <c r="Z53">
        <v>14.124084999999999</v>
      </c>
      <c r="AA53">
        <v>13.990978999999999</v>
      </c>
      <c r="AB53">
        <v>13.855207999999999</v>
      </c>
      <c r="AC53">
        <v>13.716652</v>
      </c>
      <c r="AD53">
        <v>13.575188000000001</v>
      </c>
      <c r="AE53">
        <v>13.430679</v>
      </c>
      <c r="AF53">
        <v>13.282985</v>
      </c>
      <c r="AG53">
        <v>13.131951000000001</v>
      </c>
      <c r="AH53">
        <v>12.977415000000001</v>
      </c>
      <c r="AI53">
        <v>12.819207</v>
      </c>
      <c r="AJ53">
        <v>12.657145999999999</v>
      </c>
      <c r="AK53">
        <v>12.491045</v>
      </c>
      <c r="AL53">
        <v>12.320714000000001</v>
      </c>
      <c r="AM53">
        <v>12.145967000000001</v>
      </c>
      <c r="AN53">
        <v>11.966633</v>
      </c>
      <c r="AO53">
        <v>11.782574</v>
      </c>
      <c r="AP53">
        <v>11.593724</v>
      </c>
      <c r="AQ53">
        <v>11.400149000000001</v>
      </c>
      <c r="AR53">
        <v>11.202158000000001</v>
      </c>
      <c r="AS53">
        <v>11.000522999999999</v>
      </c>
      <c r="AT53">
        <v>10.796893000000001</v>
      </c>
      <c r="AU53">
        <v>10.59465</v>
      </c>
      <c r="AV53">
        <v>10.400741</v>
      </c>
      <c r="AW53">
        <v>10.229749</v>
      </c>
      <c r="AX53">
        <v>10.1134</v>
      </c>
      <c r="AY53">
        <v>10.123512</v>
      </c>
    </row>
    <row r="54" spans="1:51" x14ac:dyDescent="0.2">
      <c r="B54">
        <v>12.169658999999999</v>
      </c>
      <c r="C54">
        <v>12.072222</v>
      </c>
      <c r="D54">
        <v>11.973416</v>
      </c>
      <c r="E54">
        <v>11.873203</v>
      </c>
      <c r="F54">
        <v>11.771540999999999</v>
      </c>
      <c r="G54">
        <v>11.668384</v>
      </c>
      <c r="H54">
        <v>11.563687</v>
      </c>
      <c r="I54">
        <v>11.457399000000001</v>
      </c>
      <c r="J54">
        <v>11.349467000000001</v>
      </c>
      <c r="K54">
        <v>11.239838000000001</v>
      </c>
      <c r="L54">
        <v>11.128450000000001</v>
      </c>
      <c r="M54">
        <v>11.015242000000001</v>
      </c>
      <c r="N54">
        <v>10.900145999999999</v>
      </c>
      <c r="O54">
        <v>10.783091000000001</v>
      </c>
      <c r="P54">
        <v>10.664002</v>
      </c>
      <c r="Q54">
        <v>10.542797</v>
      </c>
      <c r="R54">
        <v>10.419388</v>
      </c>
      <c r="S54">
        <v>10.293683</v>
      </c>
      <c r="T54">
        <v>10.165581</v>
      </c>
      <c r="U54">
        <v>10.034973000000001</v>
      </c>
      <c r="V54">
        <v>9.9017409999999995</v>
      </c>
      <c r="W54">
        <v>9.7657589999999992</v>
      </c>
      <c r="X54">
        <v>9.6268890000000003</v>
      </c>
      <c r="Y54">
        <v>9.4849789999999992</v>
      </c>
      <c r="Z54">
        <v>9.3398640000000004</v>
      </c>
      <c r="AA54">
        <v>9.1913649999999993</v>
      </c>
      <c r="AB54">
        <v>9.039282</v>
      </c>
      <c r="AC54">
        <v>8.8833939999999991</v>
      </c>
      <c r="AD54">
        <v>8.7234580000000008</v>
      </c>
      <c r="AE54">
        <v>8.5591989999999996</v>
      </c>
      <c r="AF54">
        <v>8.3903119999999998</v>
      </c>
      <c r="AG54">
        <v>8.2164520000000003</v>
      </c>
      <c r="AH54">
        <v>8.0372269999999997</v>
      </c>
      <c r="AI54">
        <v>7.8521879999999999</v>
      </c>
      <c r="AJ54">
        <v>7.660819</v>
      </c>
      <c r="AK54">
        <v>7.4625219999999999</v>
      </c>
      <c r="AL54">
        <v>7.2565910000000002</v>
      </c>
      <c r="AM54">
        <v>7.0421940000000003</v>
      </c>
      <c r="AN54">
        <v>6.8183239999999996</v>
      </c>
      <c r="AO54">
        <v>6.5837580000000004</v>
      </c>
      <c r="AP54">
        <v>6.3369720000000003</v>
      </c>
      <c r="AQ54">
        <v>6.0760329999999998</v>
      </c>
      <c r="AR54">
        <v>5.798419</v>
      </c>
      <c r="AS54">
        <v>5.5007299999999999</v>
      </c>
      <c r="AT54">
        <v>5.1781829999999998</v>
      </c>
      <c r="AU54">
        <v>4.8236889999999999</v>
      </c>
      <c r="AV54">
        <v>4.4260149999999996</v>
      </c>
      <c r="AW54">
        <v>3.965932</v>
      </c>
      <c r="AX54">
        <v>3.4075679999999999</v>
      </c>
      <c r="AY54">
        <v>2.678007</v>
      </c>
    </row>
    <row r="55" spans="1:51" x14ac:dyDescent="0.2">
      <c r="C55">
        <v>8.4655039999999993</v>
      </c>
      <c r="D55">
        <v>8.367915</v>
      </c>
      <c r="E55">
        <v>8.2689939999999993</v>
      </c>
      <c r="F55">
        <v>8.1687049999999992</v>
      </c>
      <c r="G55">
        <v>8.0670040000000007</v>
      </c>
      <c r="H55">
        <v>7.9638489999999997</v>
      </c>
      <c r="I55">
        <v>7.8591939999999996</v>
      </c>
      <c r="J55">
        <v>7.7529899999999996</v>
      </c>
      <c r="K55">
        <v>7.6451859999999998</v>
      </c>
      <c r="L55">
        <v>7.5357279999999998</v>
      </c>
      <c r="M55">
        <v>7.4245559999999999</v>
      </c>
      <c r="N55">
        <v>7.3116110000000001</v>
      </c>
      <c r="O55">
        <v>7.1968269999999999</v>
      </c>
      <c r="P55">
        <v>7.0801340000000001</v>
      </c>
      <c r="Q55">
        <v>6.9614589999999996</v>
      </c>
      <c r="R55">
        <v>6.8407200000000001</v>
      </c>
      <c r="S55">
        <v>6.7178339999999999</v>
      </c>
      <c r="T55">
        <v>6.5927090000000002</v>
      </c>
      <c r="U55">
        <v>6.4652459999999996</v>
      </c>
      <c r="V55">
        <v>6.3353390000000003</v>
      </c>
      <c r="W55">
        <v>6.2028740000000004</v>
      </c>
      <c r="X55">
        <v>6.0677250000000003</v>
      </c>
      <c r="Y55">
        <v>5.9297589999999998</v>
      </c>
      <c r="Z55">
        <v>5.7888260000000002</v>
      </c>
      <c r="AA55">
        <v>5.6447659999999997</v>
      </c>
      <c r="AB55">
        <v>5.497401</v>
      </c>
      <c r="AC55">
        <v>5.3465369999999997</v>
      </c>
      <c r="AD55">
        <v>5.1919589999999998</v>
      </c>
      <c r="AE55">
        <v>5.0334250000000003</v>
      </c>
      <c r="AF55">
        <v>4.8706709999999998</v>
      </c>
      <c r="AG55">
        <v>4.7033950000000004</v>
      </c>
      <c r="AH55">
        <v>4.5312609999999998</v>
      </c>
      <c r="AI55">
        <v>4.353885</v>
      </c>
      <c r="AJ55">
        <v>4.1708299999999996</v>
      </c>
      <c r="AK55">
        <v>3.9815939999999999</v>
      </c>
      <c r="AL55">
        <v>3.785593</v>
      </c>
      <c r="AM55">
        <v>3.582147</v>
      </c>
      <c r="AN55">
        <v>3.3704480000000001</v>
      </c>
      <c r="AO55">
        <v>3.149537</v>
      </c>
      <c r="AP55">
        <v>2.9182510000000002</v>
      </c>
      <c r="AQ55">
        <v>2.6751670000000001</v>
      </c>
      <c r="AR55">
        <v>2.4185240000000001</v>
      </c>
      <c r="AS55">
        <v>2.1461130000000002</v>
      </c>
      <c r="AT55">
        <v>1.8551470000000001</v>
      </c>
      <c r="AU55">
        <v>1.542135</v>
      </c>
      <c r="AV55">
        <v>1.2028669999999999</v>
      </c>
      <c r="AW55">
        <v>0.832901</v>
      </c>
      <c r="AX55">
        <v>0.42971199999999998</v>
      </c>
      <c r="AY55">
        <v>0</v>
      </c>
    </row>
    <row r="56" spans="1:51" x14ac:dyDescent="0.2">
      <c r="D56">
        <v>5.6312889999999998</v>
      </c>
      <c r="E56">
        <v>5.5407019999999996</v>
      </c>
      <c r="F56">
        <v>5.4490379999999998</v>
      </c>
      <c r="G56">
        <v>5.3562719999999997</v>
      </c>
      <c r="H56">
        <v>5.2623749999999996</v>
      </c>
      <c r="I56">
        <v>5.1673200000000001</v>
      </c>
      <c r="J56">
        <v>5.0710750000000004</v>
      </c>
      <c r="K56">
        <v>4.973611</v>
      </c>
      <c r="L56">
        <v>4.8748930000000001</v>
      </c>
      <c r="M56">
        <v>4.7748879999999998</v>
      </c>
      <c r="N56">
        <v>4.673559</v>
      </c>
      <c r="O56">
        <v>4.5708710000000004</v>
      </c>
      <c r="P56">
        <v>4.4667820000000003</v>
      </c>
      <c r="Q56">
        <v>4.3612539999999997</v>
      </c>
      <c r="R56">
        <v>4.2542410000000004</v>
      </c>
      <c r="S56">
        <v>4.1456999999999997</v>
      </c>
      <c r="T56">
        <v>4.0355840000000001</v>
      </c>
      <c r="U56">
        <v>3.9238430000000002</v>
      </c>
      <c r="V56">
        <v>3.8104260000000001</v>
      </c>
      <c r="W56">
        <v>3.6952790000000002</v>
      </c>
      <c r="X56">
        <v>3.578344</v>
      </c>
      <c r="Y56">
        <v>3.4595639999999999</v>
      </c>
      <c r="Z56">
        <v>3.338876</v>
      </c>
      <c r="AA56">
        <v>3.2162160000000002</v>
      </c>
      <c r="AB56">
        <v>3.0915180000000002</v>
      </c>
      <c r="AC56">
        <v>2.9647130000000002</v>
      </c>
      <c r="AD56">
        <v>2.835731</v>
      </c>
      <c r="AE56">
        <v>2.7044999999999999</v>
      </c>
      <c r="AF56">
        <v>2.5709469999999999</v>
      </c>
      <c r="AG56">
        <v>2.4350019999999999</v>
      </c>
      <c r="AH56">
        <v>2.2965960000000001</v>
      </c>
      <c r="AI56">
        <v>2.1556670000000002</v>
      </c>
      <c r="AJ56">
        <v>2.0121630000000001</v>
      </c>
      <c r="AK56">
        <v>1.866047</v>
      </c>
      <c r="AL56">
        <v>1.7173099999999999</v>
      </c>
      <c r="AM56">
        <v>1.5659799999999999</v>
      </c>
      <c r="AN56">
        <v>1.4121490000000001</v>
      </c>
      <c r="AO56">
        <v>1.2559979999999999</v>
      </c>
      <c r="AP56">
        <v>1.0978540000000001</v>
      </c>
      <c r="AQ56">
        <v>0.93826799999999999</v>
      </c>
      <c r="AR56">
        <v>0.77814499999999998</v>
      </c>
      <c r="AS56">
        <v>0.61895599999999995</v>
      </c>
      <c r="AT56">
        <v>0.46309600000000001</v>
      </c>
      <c r="AU56">
        <v>0.31448100000000001</v>
      </c>
      <c r="AV56">
        <v>0.179558</v>
      </c>
      <c r="AW56">
        <v>6.8950999999999998E-2</v>
      </c>
      <c r="AX56">
        <v>0</v>
      </c>
      <c r="AY56">
        <v>0</v>
      </c>
    </row>
    <row r="57" spans="1:51" x14ac:dyDescent="0.2">
      <c r="E57">
        <v>3.5622560000000001</v>
      </c>
      <c r="F57">
        <v>3.4843099999999998</v>
      </c>
      <c r="G57">
        <v>3.4056929999999999</v>
      </c>
      <c r="H57">
        <v>3.3264</v>
      </c>
      <c r="I57">
        <v>3.246426</v>
      </c>
      <c r="J57">
        <v>3.1657639999999998</v>
      </c>
      <c r="K57">
        <v>3.084409</v>
      </c>
      <c r="L57">
        <v>3.0023559999999998</v>
      </c>
      <c r="M57">
        <v>2.9196019999999998</v>
      </c>
      <c r="N57">
        <v>2.8361429999999999</v>
      </c>
      <c r="O57">
        <v>2.7519779999999998</v>
      </c>
      <c r="P57">
        <v>2.6671040000000001</v>
      </c>
      <c r="Q57">
        <v>2.5815220000000001</v>
      </c>
      <c r="R57">
        <v>2.4952350000000001</v>
      </c>
      <c r="S57">
        <v>2.4082469999999998</v>
      </c>
      <c r="T57">
        <v>2.3205619999999998</v>
      </c>
      <c r="U57">
        <v>2.232192</v>
      </c>
      <c r="V57">
        <v>2.1431480000000001</v>
      </c>
      <c r="W57">
        <v>2.053445</v>
      </c>
      <c r="X57">
        <v>1.963106</v>
      </c>
      <c r="Y57">
        <v>1.872155</v>
      </c>
      <c r="Z57">
        <v>1.780626</v>
      </c>
      <c r="AA57">
        <v>1.6885589999999999</v>
      </c>
      <c r="AB57">
        <v>1.596004</v>
      </c>
      <c r="AC57">
        <v>1.5030209999999999</v>
      </c>
      <c r="AD57">
        <v>1.4096850000000001</v>
      </c>
      <c r="AE57">
        <v>1.316087</v>
      </c>
      <c r="AF57">
        <v>1.2223379999999999</v>
      </c>
      <c r="AG57">
        <v>1.1285719999999999</v>
      </c>
      <c r="AH57">
        <v>1.0349550000000001</v>
      </c>
      <c r="AI57">
        <v>0.94168700000000005</v>
      </c>
      <c r="AJ57">
        <v>0.84901499999999996</v>
      </c>
      <c r="AK57">
        <v>0.75724199999999997</v>
      </c>
      <c r="AL57">
        <v>0.66674100000000003</v>
      </c>
      <c r="AM57">
        <v>0.57797299999999996</v>
      </c>
      <c r="AN57">
        <v>0.49151</v>
      </c>
      <c r="AO57">
        <v>0.40805900000000001</v>
      </c>
      <c r="AP57">
        <v>0.32850099999999999</v>
      </c>
      <c r="AQ57">
        <v>0.25392700000000001</v>
      </c>
      <c r="AR57">
        <v>0.18567400000000001</v>
      </c>
      <c r="AS57">
        <v>0.125359</v>
      </c>
      <c r="AT57">
        <v>7.4857999999999994E-2</v>
      </c>
      <c r="AU57">
        <v>3.6179000000000003E-2</v>
      </c>
      <c r="AV57">
        <v>1.1063999999999999E-2</v>
      </c>
      <c r="AW57">
        <v>0</v>
      </c>
      <c r="AX57">
        <v>0</v>
      </c>
      <c r="AY57">
        <v>0</v>
      </c>
    </row>
    <row r="58" spans="1:51" x14ac:dyDescent="0.2">
      <c r="F58">
        <v>2.130252</v>
      </c>
      <c r="G58">
        <v>2.0682119999999999</v>
      </c>
      <c r="H58">
        <v>2.0059429999999998</v>
      </c>
      <c r="I58">
        <v>1.9434670000000001</v>
      </c>
      <c r="J58">
        <v>1.880798</v>
      </c>
      <c r="K58">
        <v>1.8179540000000001</v>
      </c>
      <c r="L58">
        <v>1.7549509999999999</v>
      </c>
      <c r="M58">
        <v>1.69181</v>
      </c>
      <c r="N58">
        <v>1.6285540000000001</v>
      </c>
      <c r="O58">
        <v>1.5652060000000001</v>
      </c>
      <c r="P58">
        <v>1.501795</v>
      </c>
      <c r="Q58">
        <v>1.4383509999999999</v>
      </c>
      <c r="R58">
        <v>1.374908</v>
      </c>
      <c r="S58">
        <v>1.3115049999999999</v>
      </c>
      <c r="T58">
        <v>1.248183</v>
      </c>
      <c r="U58">
        <v>1.1849909999999999</v>
      </c>
      <c r="V58">
        <v>1.121982</v>
      </c>
      <c r="W58">
        <v>1.0592140000000001</v>
      </c>
      <c r="X58">
        <v>0.996753</v>
      </c>
      <c r="Y58">
        <v>0.93467299999999998</v>
      </c>
      <c r="Z58">
        <v>0.873058</v>
      </c>
      <c r="AA58">
        <v>0.81200000000000006</v>
      </c>
      <c r="AB58">
        <v>0.75160199999999999</v>
      </c>
      <c r="AC58">
        <v>0.69198300000000001</v>
      </c>
      <c r="AD58">
        <v>0.63327299999999997</v>
      </c>
      <c r="AE58">
        <v>0.57562000000000002</v>
      </c>
      <c r="AF58">
        <v>0.51919000000000004</v>
      </c>
      <c r="AG58">
        <v>0.464169</v>
      </c>
      <c r="AH58">
        <v>0.41076800000000002</v>
      </c>
      <c r="AI58">
        <v>0.35922199999999999</v>
      </c>
      <c r="AJ58">
        <v>0.30979499999999999</v>
      </c>
      <c r="AK58">
        <v>0.26277899999999998</v>
      </c>
      <c r="AL58">
        <v>0.2185</v>
      </c>
      <c r="AM58">
        <v>0.177313</v>
      </c>
      <c r="AN58">
        <v>0.13960400000000001</v>
      </c>
      <c r="AO58">
        <v>0.10577499999999999</v>
      </c>
      <c r="AP58">
        <v>7.6233999999999996E-2</v>
      </c>
      <c r="AQ58">
        <v>5.1362999999999999E-2</v>
      </c>
      <c r="AR58">
        <v>3.1469999999999998E-2</v>
      </c>
      <c r="AS58">
        <v>1.6712999999999999E-2</v>
      </c>
      <c r="AT58">
        <v>6.9870000000000002E-3</v>
      </c>
      <c r="AU58">
        <v>1.7750000000000001E-3</v>
      </c>
      <c r="AV58">
        <v>0</v>
      </c>
      <c r="AW58">
        <v>0</v>
      </c>
      <c r="AX58">
        <v>0</v>
      </c>
      <c r="AY58">
        <v>0</v>
      </c>
    </row>
    <row r="59" spans="1:51" x14ac:dyDescent="0.2">
      <c r="G59">
        <v>1.196677</v>
      </c>
      <c r="H59">
        <v>1.1511910000000001</v>
      </c>
      <c r="I59">
        <v>1.1058129999999999</v>
      </c>
      <c r="J59">
        <v>1.0606150000000001</v>
      </c>
      <c r="K59">
        <v>1.0156259999999999</v>
      </c>
      <c r="L59">
        <v>0.97087500000000004</v>
      </c>
      <c r="M59">
        <v>0.92639300000000002</v>
      </c>
      <c r="N59">
        <v>0.88221300000000002</v>
      </c>
      <c r="O59">
        <v>0.83836999999999995</v>
      </c>
      <c r="P59">
        <v>0.794902</v>
      </c>
      <c r="Q59">
        <v>0.75185100000000005</v>
      </c>
      <c r="R59">
        <v>0.70925899999999997</v>
      </c>
      <c r="S59">
        <v>0.66717599999999999</v>
      </c>
      <c r="T59">
        <v>0.62565099999999996</v>
      </c>
      <c r="U59">
        <v>0.58473900000000001</v>
      </c>
      <c r="V59">
        <v>0.54450100000000001</v>
      </c>
      <c r="W59">
        <v>0.50499799999999995</v>
      </c>
      <c r="X59">
        <v>0.46629999999999999</v>
      </c>
      <c r="Y59">
        <v>0.428479</v>
      </c>
      <c r="Z59">
        <v>0.39161499999999999</v>
      </c>
      <c r="AA59">
        <v>0.35579100000000002</v>
      </c>
      <c r="AB59">
        <v>0.32109700000000002</v>
      </c>
      <c r="AC59">
        <v>0.28762799999999999</v>
      </c>
      <c r="AD59">
        <v>0.25548599999999999</v>
      </c>
      <c r="AE59">
        <v>0.22477800000000001</v>
      </c>
      <c r="AF59">
        <v>0.19561500000000001</v>
      </c>
      <c r="AG59">
        <v>0.16811499999999999</v>
      </c>
      <c r="AH59">
        <v>0.14239499999999999</v>
      </c>
      <c r="AI59">
        <v>0.118577</v>
      </c>
      <c r="AJ59">
        <v>9.6779000000000004E-2</v>
      </c>
      <c r="AK59">
        <v>7.7112E-2</v>
      </c>
      <c r="AL59">
        <v>5.9677000000000001E-2</v>
      </c>
      <c r="AM59">
        <v>4.4554000000000003E-2</v>
      </c>
      <c r="AN59">
        <v>3.1794000000000003E-2</v>
      </c>
      <c r="AO59">
        <v>2.1406000000000001E-2</v>
      </c>
      <c r="AP59">
        <v>1.3337999999999999E-2</v>
      </c>
      <c r="AQ59">
        <v>7.463E-3</v>
      </c>
      <c r="AR59">
        <v>3.5630000000000002E-3</v>
      </c>
      <c r="AS59">
        <v>1.3110000000000001E-3</v>
      </c>
      <c r="AT59">
        <v>2.8499999999999999E-4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 x14ac:dyDescent="0.2">
      <c r="H60">
        <v>0.62702999999999998</v>
      </c>
      <c r="I60">
        <v>0.59665500000000005</v>
      </c>
      <c r="J60">
        <v>0.56638599999999995</v>
      </c>
      <c r="K60">
        <v>0.53651499999999996</v>
      </c>
      <c r="L60">
        <v>0.50708600000000004</v>
      </c>
      <c r="M60">
        <v>0.47812700000000002</v>
      </c>
      <c r="N60">
        <v>0.44967000000000001</v>
      </c>
      <c r="O60">
        <v>0.42174400000000001</v>
      </c>
      <c r="P60">
        <v>0.39438299999999998</v>
      </c>
      <c r="Q60">
        <v>0.36762099999999998</v>
      </c>
      <c r="R60">
        <v>0.34149200000000002</v>
      </c>
      <c r="S60">
        <v>0.31603500000000001</v>
      </c>
      <c r="T60">
        <v>0.29128700000000002</v>
      </c>
      <c r="U60">
        <v>0.26728800000000003</v>
      </c>
      <c r="V60">
        <v>0.24407999999999999</v>
      </c>
      <c r="W60">
        <v>0.22170400000000001</v>
      </c>
      <c r="X60">
        <v>0.20020299999999999</v>
      </c>
      <c r="Y60">
        <v>0.179623</v>
      </c>
      <c r="Z60">
        <v>0.16000600000000001</v>
      </c>
      <c r="AA60">
        <v>0.141399</v>
      </c>
      <c r="AB60">
        <v>0.12384299999999999</v>
      </c>
      <c r="AC60">
        <v>0.10738300000000001</v>
      </c>
      <c r="AD60">
        <v>9.2059000000000002E-2</v>
      </c>
      <c r="AE60">
        <v>7.7907000000000004E-2</v>
      </c>
      <c r="AF60">
        <v>6.4962000000000006E-2</v>
      </c>
      <c r="AG60">
        <v>5.3248999999999998E-2</v>
      </c>
      <c r="AH60">
        <v>4.2786999999999999E-2</v>
      </c>
      <c r="AI60">
        <v>3.3584999999999997E-2</v>
      </c>
      <c r="AJ60">
        <v>2.5638000000000001E-2</v>
      </c>
      <c r="AK60">
        <v>1.8925999999999998E-2</v>
      </c>
      <c r="AL60">
        <v>1.3409000000000001E-2</v>
      </c>
      <c r="AM60">
        <v>9.0259999999999993E-3</v>
      </c>
      <c r="AN60">
        <v>5.6909999999999999E-3</v>
      </c>
      <c r="AO60">
        <v>3.2929999999999999E-3</v>
      </c>
      <c r="AP60">
        <v>1.6930000000000001E-3</v>
      </c>
      <c r="AQ60">
        <v>7.3300000000000004E-4</v>
      </c>
      <c r="AR60">
        <v>2.41E-4</v>
      </c>
      <c r="AS60">
        <v>4.6E-5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</row>
    <row r="61" spans="1:51" x14ac:dyDescent="0.2">
      <c r="I61">
        <v>0.30290099999999998</v>
      </c>
      <c r="J61">
        <v>0.285717</v>
      </c>
      <c r="K61">
        <v>0.26741199999999998</v>
      </c>
      <c r="L61">
        <v>0.24949299999999999</v>
      </c>
      <c r="M61">
        <v>0.23206599999999999</v>
      </c>
      <c r="N61">
        <v>0.21515300000000001</v>
      </c>
      <c r="O61">
        <v>0.19877500000000001</v>
      </c>
      <c r="P61">
        <v>0.182952</v>
      </c>
      <c r="Q61">
        <v>0.16770399999999999</v>
      </c>
      <c r="R61">
        <v>0.15304999999999999</v>
      </c>
      <c r="S61">
        <v>0.13900799999999999</v>
      </c>
      <c r="T61">
        <v>0.12559799999999999</v>
      </c>
      <c r="U61">
        <v>0.11283700000000001</v>
      </c>
      <c r="V61">
        <v>0.100742</v>
      </c>
      <c r="W61">
        <v>8.9329000000000006E-2</v>
      </c>
      <c r="X61">
        <v>7.8613000000000002E-2</v>
      </c>
      <c r="Y61">
        <v>6.8607000000000001E-2</v>
      </c>
      <c r="Z61">
        <v>5.9319999999999998E-2</v>
      </c>
      <c r="AA61">
        <v>5.0761000000000001E-2</v>
      </c>
      <c r="AB61">
        <v>4.2934E-2</v>
      </c>
      <c r="AC61">
        <v>3.5840999999999998E-2</v>
      </c>
      <c r="AD61">
        <v>2.9478000000000001E-2</v>
      </c>
      <c r="AE61">
        <v>2.3836E-2</v>
      </c>
      <c r="AF61">
        <v>1.8901000000000001E-2</v>
      </c>
      <c r="AG61">
        <v>1.4652E-2</v>
      </c>
      <c r="AH61">
        <v>1.1061E-2</v>
      </c>
      <c r="AI61">
        <v>8.0929999999999995E-3</v>
      </c>
      <c r="AJ61">
        <v>5.7029999999999997E-3</v>
      </c>
      <c r="AK61">
        <v>3.839E-3</v>
      </c>
      <c r="AL61">
        <v>2.4420000000000002E-3</v>
      </c>
      <c r="AM61">
        <v>1.446E-3</v>
      </c>
      <c r="AN61">
        <v>7.7999999999999999E-4</v>
      </c>
      <c r="AO61">
        <v>3.7100000000000002E-4</v>
      </c>
      <c r="AP61">
        <v>1.47E-4</v>
      </c>
      <c r="AQ61">
        <v>4.3999999999999999E-5</v>
      </c>
      <c r="AR61">
        <v>6.9999999999999999E-6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</row>
    <row r="62" spans="1:51" x14ac:dyDescent="0.2">
      <c r="J62">
        <v>0.126085</v>
      </c>
      <c r="K62">
        <v>0.124917</v>
      </c>
      <c r="L62">
        <v>0.11534700000000001</v>
      </c>
      <c r="M62">
        <v>0.10569000000000001</v>
      </c>
      <c r="N62">
        <v>9.6433000000000005E-2</v>
      </c>
      <c r="O62">
        <v>8.7586999999999998E-2</v>
      </c>
      <c r="P62">
        <v>7.9177999999999998E-2</v>
      </c>
      <c r="Q62">
        <v>7.1212999999999999E-2</v>
      </c>
      <c r="R62">
        <v>6.3697000000000004E-2</v>
      </c>
      <c r="S62">
        <v>5.6633999999999997E-2</v>
      </c>
      <c r="T62">
        <v>5.0025E-2</v>
      </c>
      <c r="U62">
        <v>4.3873000000000002E-2</v>
      </c>
      <c r="V62">
        <v>3.8177000000000003E-2</v>
      </c>
      <c r="W62">
        <v>3.2934999999999999E-2</v>
      </c>
      <c r="X62">
        <v>2.8143000000000001E-2</v>
      </c>
      <c r="Y62">
        <v>2.3796000000000001E-2</v>
      </c>
      <c r="Z62">
        <v>1.9883999999999999E-2</v>
      </c>
      <c r="AA62">
        <v>1.6399E-2</v>
      </c>
      <c r="AB62">
        <v>1.3325E-2</v>
      </c>
      <c r="AC62">
        <v>1.0647999999999999E-2</v>
      </c>
      <c r="AD62">
        <v>8.3479999999999995E-3</v>
      </c>
      <c r="AE62">
        <v>6.404E-3</v>
      </c>
      <c r="AF62">
        <v>4.79E-3</v>
      </c>
      <c r="AG62">
        <v>3.4789999999999999E-3</v>
      </c>
      <c r="AH62">
        <v>2.441E-3</v>
      </c>
      <c r="AI62">
        <v>1.6440000000000001E-3</v>
      </c>
      <c r="AJ62">
        <v>1.0529999999999999E-3</v>
      </c>
      <c r="AK62">
        <v>6.3400000000000001E-4</v>
      </c>
      <c r="AL62">
        <v>3.5399999999999999E-4</v>
      </c>
      <c r="AM62">
        <v>1.7899999999999999E-4</v>
      </c>
      <c r="AN62">
        <v>7.8999999999999996E-5</v>
      </c>
      <c r="AO62">
        <v>2.9E-5</v>
      </c>
      <c r="AP62">
        <v>7.9999999999999996E-6</v>
      </c>
      <c r="AQ62">
        <v>9.9999999999999995E-7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</row>
    <row r="63" spans="1:51" x14ac:dyDescent="0.2">
      <c r="L63">
        <v>4.6786000000000001E-2</v>
      </c>
      <c r="M63">
        <v>4.4796000000000002E-2</v>
      </c>
      <c r="N63">
        <v>4.0284E-2</v>
      </c>
      <c r="O63">
        <v>3.6006999999999997E-2</v>
      </c>
      <c r="P63">
        <v>3.1904000000000002E-2</v>
      </c>
      <c r="Q63">
        <v>2.809E-2</v>
      </c>
      <c r="R63">
        <v>2.4563999999999999E-2</v>
      </c>
      <c r="S63">
        <v>2.1323999999999999E-2</v>
      </c>
      <c r="T63">
        <v>1.8362E-2</v>
      </c>
      <c r="U63">
        <v>1.5672999999999999E-2</v>
      </c>
      <c r="V63">
        <v>1.3249E-2</v>
      </c>
      <c r="W63">
        <v>1.1081000000000001E-2</v>
      </c>
      <c r="X63">
        <v>9.1590000000000005E-3</v>
      </c>
      <c r="Y63">
        <v>7.4710000000000002E-3</v>
      </c>
      <c r="Z63">
        <v>6.0060000000000001E-3</v>
      </c>
      <c r="AA63">
        <v>4.7499999999999999E-3</v>
      </c>
      <c r="AB63">
        <v>3.6870000000000002E-3</v>
      </c>
      <c r="AC63">
        <v>2.8029999999999999E-3</v>
      </c>
      <c r="AD63">
        <v>2.0799999999999998E-3</v>
      </c>
      <c r="AE63">
        <v>1.5020000000000001E-3</v>
      </c>
      <c r="AF63">
        <v>1.0499999999999999E-3</v>
      </c>
      <c r="AG63">
        <v>7.0699999999999995E-4</v>
      </c>
      <c r="AH63">
        <v>4.5600000000000003E-4</v>
      </c>
      <c r="AI63">
        <v>2.7799999999999998E-4</v>
      </c>
      <c r="AJ63">
        <v>1.5899999999999999E-4</v>
      </c>
      <c r="AK63">
        <v>8.3999999999999995E-5</v>
      </c>
      <c r="AL63">
        <v>4.0000000000000003E-5</v>
      </c>
      <c r="AM63">
        <v>1.5999999999999999E-5</v>
      </c>
      <c r="AN63">
        <v>6.0000000000000002E-6</v>
      </c>
      <c r="AO63">
        <v>9.9999999999999995E-7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</row>
    <row r="64" spans="1:51" x14ac:dyDescent="0.2">
      <c r="N64">
        <v>1.4470999999999999E-2</v>
      </c>
      <c r="O64">
        <v>1.3056E-2</v>
      </c>
      <c r="P64">
        <v>1.1919000000000001E-2</v>
      </c>
      <c r="Q64">
        <v>1.0271000000000001E-2</v>
      </c>
      <c r="R64">
        <v>8.7600000000000004E-3</v>
      </c>
      <c r="S64">
        <v>7.404E-3</v>
      </c>
      <c r="T64">
        <v>6.1970000000000003E-3</v>
      </c>
      <c r="U64">
        <v>5.1320000000000003E-3</v>
      </c>
      <c r="V64">
        <v>4.1999999999999997E-3</v>
      </c>
      <c r="W64">
        <v>3.3930000000000002E-3</v>
      </c>
      <c r="X64">
        <v>2.702E-3</v>
      </c>
      <c r="Y64">
        <v>2.117E-3</v>
      </c>
      <c r="Z64">
        <v>1.629E-3</v>
      </c>
      <c r="AA64">
        <v>1.2290000000000001E-3</v>
      </c>
      <c r="AB64">
        <v>9.0600000000000001E-4</v>
      </c>
      <c r="AC64">
        <v>6.5099999999999999E-4</v>
      </c>
      <c r="AD64">
        <v>4.5399999999999998E-4</v>
      </c>
      <c r="AE64">
        <v>3.0600000000000001E-4</v>
      </c>
      <c r="AF64">
        <v>1.9799999999999999E-4</v>
      </c>
      <c r="AG64">
        <v>1.22E-4</v>
      </c>
      <c r="AH64">
        <v>7.1000000000000005E-5</v>
      </c>
      <c r="AI64">
        <v>3.8999999999999999E-5</v>
      </c>
      <c r="AJ64">
        <v>1.9000000000000001E-5</v>
      </c>
      <c r="AK64">
        <v>9.0000000000000002E-6</v>
      </c>
      <c r="AL64">
        <v>3.0000000000000001E-6</v>
      </c>
      <c r="AM64">
        <v>9.9999999999999995E-7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</row>
    <row r="65" spans="17:51" x14ac:dyDescent="0.2">
      <c r="Q65">
        <v>3.32E-3</v>
      </c>
      <c r="R65">
        <v>2.875E-3</v>
      </c>
      <c r="S65">
        <v>2.3630000000000001E-3</v>
      </c>
      <c r="T65">
        <v>1.9189999999999999E-3</v>
      </c>
      <c r="U65">
        <v>1.537E-3</v>
      </c>
      <c r="V65">
        <v>1.2130000000000001E-3</v>
      </c>
      <c r="W65">
        <v>9.4300000000000004E-4</v>
      </c>
      <c r="X65">
        <v>7.2000000000000005E-4</v>
      </c>
      <c r="Y65">
        <v>5.4000000000000001E-4</v>
      </c>
      <c r="Z65">
        <v>3.9599999999999998E-4</v>
      </c>
      <c r="AA65">
        <v>2.8299999999999999E-4</v>
      </c>
      <c r="AB65">
        <v>1.9699999999999999E-4</v>
      </c>
      <c r="AC65">
        <v>1.3300000000000001E-4</v>
      </c>
      <c r="AD65">
        <v>8.6000000000000003E-5</v>
      </c>
      <c r="AE65">
        <v>5.3999999999999998E-5</v>
      </c>
      <c r="AF65">
        <v>3.1999999999999999E-5</v>
      </c>
      <c r="AG65">
        <v>1.8E-5</v>
      </c>
      <c r="AH65">
        <v>9.0000000000000002E-6</v>
      </c>
      <c r="AI65">
        <v>3.9999999999999998E-6</v>
      </c>
      <c r="AJ65">
        <v>1.9999999999999999E-6</v>
      </c>
      <c r="AK65">
        <v>9.9999999999999995E-7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</row>
    <row r="66" spans="17:51" x14ac:dyDescent="0.2">
      <c r="S66">
        <v>6.5799999999999995E-4</v>
      </c>
      <c r="T66">
        <v>5.2599999999999999E-4</v>
      </c>
      <c r="U66">
        <v>4.1899999999999999E-4</v>
      </c>
      <c r="V66">
        <v>3.1799999999999998E-4</v>
      </c>
      <c r="W66">
        <v>2.3699999999999999E-4</v>
      </c>
      <c r="X66">
        <v>1.73E-4</v>
      </c>
      <c r="Y66">
        <v>1.2300000000000001E-4</v>
      </c>
      <c r="Z66">
        <v>8.6000000000000003E-5</v>
      </c>
      <c r="AA66">
        <v>5.8E-5</v>
      </c>
      <c r="AB66">
        <v>3.8000000000000002E-5</v>
      </c>
      <c r="AC66">
        <v>2.4000000000000001E-5</v>
      </c>
      <c r="AD66">
        <v>1.4E-5</v>
      </c>
      <c r="AE66">
        <v>7.9999999999999996E-6</v>
      </c>
      <c r="AF66">
        <v>3.9999999999999998E-6</v>
      </c>
      <c r="AG66">
        <v>1.9999999999999999E-6</v>
      </c>
      <c r="AH66">
        <v>9.9999999999999995E-7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</row>
    <row r="67" spans="17:51" x14ac:dyDescent="0.2">
      <c r="V67">
        <v>7.2999999999999999E-5</v>
      </c>
      <c r="W67">
        <v>5.3000000000000001E-5</v>
      </c>
      <c r="X67">
        <v>3.6999999999999998E-5</v>
      </c>
      <c r="Y67">
        <v>2.5000000000000001E-5</v>
      </c>
      <c r="Z67">
        <v>1.5999999999999999E-5</v>
      </c>
      <c r="AA67">
        <v>1.0000000000000001E-5</v>
      </c>
      <c r="AB67">
        <v>6.0000000000000002E-6</v>
      </c>
      <c r="AC67">
        <v>3.9999999999999998E-6</v>
      </c>
      <c r="AD67">
        <v>1.9999999999999999E-6</v>
      </c>
      <c r="AE67">
        <v>9.9999999999999995E-7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</row>
    <row r="68" spans="17:51" x14ac:dyDescent="0.2">
      <c r="Y68">
        <v>3.9999999999999998E-6</v>
      </c>
      <c r="Z68">
        <v>3.0000000000000001E-6</v>
      </c>
      <c r="AA68">
        <v>1.9999999999999999E-6</v>
      </c>
      <c r="AB68">
        <v>9.9999999999999995E-7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</row>
    <row r="69" spans="17:51" x14ac:dyDescent="0.2"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</row>
    <row r="70" spans="17:51" x14ac:dyDescent="0.2"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7:51" x14ac:dyDescent="0.2"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7:51" x14ac:dyDescent="0.2"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</row>
    <row r="73" spans="17:51" x14ac:dyDescent="0.2"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</row>
    <row r="74" spans="17:51" x14ac:dyDescent="0.2">
      <c r="AU74">
        <v>0</v>
      </c>
      <c r="AV74">
        <v>0</v>
      </c>
      <c r="AW74">
        <v>0</v>
      </c>
      <c r="AX74">
        <v>0</v>
      </c>
      <c r="AY74">
        <v>0</v>
      </c>
    </row>
    <row r="75" spans="17:51" x14ac:dyDescent="0.2">
      <c r="AY7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A665-EBF5-E14D-86BA-EA809A15BD4A}">
  <sheetPr codeName="Feuil5">
    <tabColor theme="9" tint="-0.499984740745262"/>
  </sheetPr>
  <dimension ref="A1:AY75"/>
  <sheetViews>
    <sheetView zoomScale="96" zoomScaleNormal="96" workbookViewId="0">
      <selection activeCell="O34" sqref="O34"/>
    </sheetView>
  </sheetViews>
  <sheetFormatPr baseColWidth="10" defaultRowHeight="15" x14ac:dyDescent="0.2"/>
  <cols>
    <col min="1" max="1" width="18" bestFit="1" customWidth="1"/>
    <col min="2" max="51" width="12.6640625" bestFit="1" customWidth="1"/>
    <col min="52" max="702" width="12.1640625" bestFit="1" customWidth="1"/>
  </cols>
  <sheetData>
    <row r="1" spans="1:1" x14ac:dyDescent="0.2">
      <c r="A1" t="s">
        <v>60</v>
      </c>
    </row>
    <row r="33" spans="6:51" x14ac:dyDescent="0.2">
      <c r="AU33">
        <v>1.013E-7</v>
      </c>
      <c r="AV33">
        <v>1.328E-7</v>
      </c>
      <c r="AW33">
        <v>1.719E-7</v>
      </c>
      <c r="AX33">
        <v>2.202E-7</v>
      </c>
      <c r="AY33">
        <v>2.791E-7</v>
      </c>
    </row>
    <row r="34" spans="6:51" x14ac:dyDescent="0.2">
      <c r="AQ34">
        <v>1.2739999999999999E-7</v>
      </c>
      <c r="AR34">
        <v>1.7070000000000001E-7</v>
      </c>
      <c r="AS34">
        <v>2.255E-7</v>
      </c>
      <c r="AT34">
        <v>2.9410000000000002E-7</v>
      </c>
      <c r="AU34">
        <v>3.7899999999999999E-7</v>
      </c>
      <c r="AV34">
        <v>4.8279999999999996E-7</v>
      </c>
      <c r="AW34">
        <v>6.0859999999999998E-7</v>
      </c>
      <c r="AX34">
        <v>7.596E-7</v>
      </c>
      <c r="AY34">
        <v>9.3939999999999995E-7</v>
      </c>
    </row>
    <row r="35" spans="6:51" x14ac:dyDescent="0.2">
      <c r="AL35">
        <v>1.091E-7</v>
      </c>
      <c r="AM35">
        <v>1.532E-7</v>
      </c>
      <c r="AN35">
        <v>2.111E-7</v>
      </c>
      <c r="AO35">
        <v>2.861E-7</v>
      </c>
      <c r="AP35">
        <v>3.8169999999999998E-7</v>
      </c>
      <c r="AQ35">
        <v>5.0180000000000001E-7</v>
      </c>
      <c r="AR35">
        <v>6.511E-7</v>
      </c>
      <c r="AS35">
        <v>8.343E-7</v>
      </c>
      <c r="AT35">
        <v>1.0567E-6</v>
      </c>
      <c r="AU35">
        <v>1.3241E-6</v>
      </c>
      <c r="AV35">
        <v>1.6427E-6</v>
      </c>
      <c r="AW35">
        <v>2.0188999999999998E-6</v>
      </c>
      <c r="AX35">
        <v>2.4594999999999999E-6</v>
      </c>
      <c r="AY35">
        <v>2.9716999999999999E-6</v>
      </c>
    </row>
    <row r="36" spans="6:51" x14ac:dyDescent="0.2">
      <c r="AH36">
        <v>1.182E-7</v>
      </c>
      <c r="AI36">
        <v>1.7319999999999999E-7</v>
      </c>
      <c r="AJ36">
        <v>2.4769999999999997E-7</v>
      </c>
      <c r="AK36">
        <v>3.4680000000000001E-7</v>
      </c>
      <c r="AL36">
        <v>4.764E-7</v>
      </c>
      <c r="AM36">
        <v>6.4280000000000001E-7</v>
      </c>
      <c r="AN36">
        <v>8.5330000000000005E-7</v>
      </c>
      <c r="AO36">
        <v>1.1161E-6</v>
      </c>
      <c r="AP36">
        <v>1.4398E-6</v>
      </c>
      <c r="AQ36">
        <v>1.8338999999999999E-6</v>
      </c>
      <c r="AR36">
        <v>2.3085E-6</v>
      </c>
      <c r="AS36">
        <v>2.8743000000000002E-6</v>
      </c>
      <c r="AT36">
        <v>3.5424000000000002E-6</v>
      </c>
      <c r="AU36">
        <v>4.3246000000000001E-6</v>
      </c>
      <c r="AV36">
        <v>5.2329999999999997E-6</v>
      </c>
      <c r="AW36">
        <v>6.28E-6</v>
      </c>
      <c r="AX36">
        <v>7.4780999999999996E-6</v>
      </c>
      <c r="AY36">
        <v>8.8403000000000007E-6</v>
      </c>
    </row>
    <row r="37" spans="6:51" x14ac:dyDescent="0.2">
      <c r="AD37">
        <v>1.154E-7</v>
      </c>
      <c r="AE37">
        <v>1.7910000000000001E-7</v>
      </c>
      <c r="AF37">
        <v>2.6950000000000002E-7</v>
      </c>
      <c r="AG37">
        <v>3.9449999999999999E-7</v>
      </c>
      <c r="AH37">
        <v>5.6319999999999996E-7</v>
      </c>
      <c r="AI37">
        <v>7.8619999999999999E-7</v>
      </c>
      <c r="AJ37">
        <v>1.0755999999999999E-6</v>
      </c>
      <c r="AK37">
        <v>1.4445999999999999E-6</v>
      </c>
      <c r="AL37">
        <v>1.9077E-6</v>
      </c>
      <c r="AM37">
        <v>2.4806999999999998E-6</v>
      </c>
      <c r="AN37">
        <v>3.1804999999999999E-6</v>
      </c>
      <c r="AO37">
        <v>4.0248E-6</v>
      </c>
      <c r="AP37">
        <v>5.0321999999999999E-6</v>
      </c>
      <c r="AQ37">
        <v>6.2222000000000003E-6</v>
      </c>
      <c r="AR37">
        <v>7.6145999999999999E-6</v>
      </c>
      <c r="AS37">
        <v>9.2296000000000005E-6</v>
      </c>
      <c r="AT37">
        <v>1.10876E-5</v>
      </c>
      <c r="AU37">
        <v>1.3209399999999999E-5</v>
      </c>
      <c r="AV37">
        <v>1.5615199999999999E-5</v>
      </c>
      <c r="AW37">
        <v>1.8325499999999999E-5</v>
      </c>
      <c r="AX37">
        <v>2.1360199999999999E-5</v>
      </c>
      <c r="AY37">
        <v>2.4738700000000001E-5</v>
      </c>
    </row>
    <row r="38" spans="6:51" x14ac:dyDescent="0.2">
      <c r="AA38">
        <v>1.621E-7</v>
      </c>
      <c r="AB38">
        <v>2.6230000000000001E-7</v>
      </c>
      <c r="AC38">
        <v>4.0859999999999999E-7</v>
      </c>
      <c r="AD38">
        <v>6.1549999999999997E-7</v>
      </c>
      <c r="AE38">
        <v>9.0029999999999998E-7</v>
      </c>
      <c r="AF38">
        <v>1.2827E-6</v>
      </c>
      <c r="AG38">
        <v>1.7847E-6</v>
      </c>
      <c r="AH38">
        <v>2.4308000000000001E-6</v>
      </c>
      <c r="AI38">
        <v>3.2476999999999998E-6</v>
      </c>
      <c r="AJ38">
        <v>4.2637999999999997E-6</v>
      </c>
      <c r="AK38">
        <v>5.5092999999999999E-6</v>
      </c>
      <c r="AL38">
        <v>7.0156000000000002E-6</v>
      </c>
      <c r="AM38">
        <v>8.8153000000000001E-6</v>
      </c>
      <c r="AN38">
        <v>1.09415E-5</v>
      </c>
      <c r="AO38">
        <v>1.34276E-5</v>
      </c>
      <c r="AP38">
        <v>1.6307199999999999E-5</v>
      </c>
      <c r="AQ38">
        <v>1.9613700000000002E-5</v>
      </c>
      <c r="AR38">
        <v>2.3379799999999999E-5</v>
      </c>
      <c r="AS38">
        <v>2.7637500000000001E-5</v>
      </c>
      <c r="AT38">
        <v>3.2417599999999999E-5</v>
      </c>
      <c r="AU38">
        <v>3.7749900000000003E-5</v>
      </c>
      <c r="AV38">
        <v>4.3662699999999998E-5</v>
      </c>
      <c r="AW38">
        <v>5.0182600000000003E-5</v>
      </c>
      <c r="AX38">
        <v>5.7334499999999998E-5</v>
      </c>
      <c r="AY38">
        <v>6.51417E-5</v>
      </c>
    </row>
    <row r="39" spans="6:51" x14ac:dyDescent="0.2">
      <c r="W39">
        <v>1.182E-7</v>
      </c>
      <c r="X39">
        <v>2.138E-7</v>
      </c>
      <c r="Y39">
        <v>3.6590000000000001E-7</v>
      </c>
      <c r="Z39">
        <v>5.9680000000000005E-7</v>
      </c>
      <c r="AA39">
        <v>9.3369999999999995E-7</v>
      </c>
      <c r="AB39">
        <v>1.4089E-6</v>
      </c>
      <c r="AC39">
        <v>2.0594999999999999E-6</v>
      </c>
      <c r="AD39">
        <v>2.9270000000000001E-6</v>
      </c>
      <c r="AE39">
        <v>4.0569000000000001E-6</v>
      </c>
      <c r="AF39">
        <v>5.4983999999999997E-6</v>
      </c>
      <c r="AG39">
        <v>7.3035999999999998E-6</v>
      </c>
      <c r="AH39">
        <v>9.5264999999999993E-6</v>
      </c>
      <c r="AI39">
        <v>1.2222899999999999E-5</v>
      </c>
      <c r="AJ39">
        <v>1.5449300000000001E-5</v>
      </c>
      <c r="AK39">
        <v>1.92622E-5</v>
      </c>
      <c r="AL39">
        <v>2.3717500000000001E-5</v>
      </c>
      <c r="AM39">
        <v>2.8869799999999999E-5</v>
      </c>
      <c r="AN39">
        <v>3.4772299999999999E-5</v>
      </c>
      <c r="AO39">
        <v>4.14755E-5</v>
      </c>
      <c r="AP39">
        <v>4.9027399999999998E-5</v>
      </c>
      <c r="AQ39">
        <v>5.7473199999999997E-5</v>
      </c>
      <c r="AR39">
        <v>6.6854300000000001E-5</v>
      </c>
      <c r="AS39">
        <v>7.7209100000000006E-5</v>
      </c>
      <c r="AT39">
        <v>8.8571800000000005E-5</v>
      </c>
      <c r="AU39">
        <v>1.009732E-4</v>
      </c>
      <c r="AV39">
        <v>1.144399E-4</v>
      </c>
      <c r="AW39">
        <v>1.2899499999999999E-4</v>
      </c>
      <c r="AX39">
        <v>1.446575E-4</v>
      </c>
      <c r="AY39">
        <v>1.6144259999999999E-4</v>
      </c>
    </row>
    <row r="40" spans="6:51" x14ac:dyDescent="0.2">
      <c r="T40">
        <v>1.2809999999999999E-7</v>
      </c>
      <c r="U40">
        <v>2.5639999999999999E-7</v>
      </c>
      <c r="V40">
        <v>4.7510000000000001E-7</v>
      </c>
      <c r="W40">
        <v>8.2569999999999999E-7</v>
      </c>
      <c r="X40">
        <v>1.3598000000000001E-6</v>
      </c>
      <c r="Y40">
        <v>2.1388000000000002E-6</v>
      </c>
      <c r="Z40">
        <v>3.2333999999999998E-6</v>
      </c>
      <c r="AA40">
        <v>4.7229000000000001E-6</v>
      </c>
      <c r="AB40">
        <v>6.6934000000000002E-6</v>
      </c>
      <c r="AC40">
        <v>9.2369999999999998E-6</v>
      </c>
      <c r="AD40">
        <v>1.24494E-5</v>
      </c>
      <c r="AE40">
        <v>1.6428800000000001E-5</v>
      </c>
      <c r="AF40">
        <v>2.1274E-5</v>
      </c>
      <c r="AG40">
        <v>2.7082900000000001E-5</v>
      </c>
      <c r="AH40">
        <v>3.39508E-5</v>
      </c>
      <c r="AI40">
        <v>4.1969499999999999E-5</v>
      </c>
      <c r="AJ40">
        <v>5.12259E-5</v>
      </c>
      <c r="AK40">
        <v>6.1801299999999994E-5</v>
      </c>
      <c r="AL40">
        <v>7.3770399999999994E-5</v>
      </c>
      <c r="AM40">
        <v>8.7200799999999994E-5</v>
      </c>
      <c r="AN40">
        <v>1.021528E-4</v>
      </c>
      <c r="AO40">
        <v>1.186789E-4</v>
      </c>
      <c r="AP40">
        <v>1.368238E-4</v>
      </c>
      <c r="AQ40">
        <v>1.5662440000000001E-4</v>
      </c>
      <c r="AR40">
        <v>1.7810999999999999E-4</v>
      </c>
      <c r="AS40">
        <v>2.0130220000000001E-4</v>
      </c>
      <c r="AT40">
        <v>2.2621570000000001E-4</v>
      </c>
      <c r="AU40">
        <v>2.5285809999999999E-4</v>
      </c>
      <c r="AV40">
        <v>2.8123029999999998E-4</v>
      </c>
      <c r="AW40">
        <v>3.1132749999999998E-4</v>
      </c>
      <c r="AX40">
        <v>3.431388E-4</v>
      </c>
      <c r="AY40">
        <v>3.766482E-4</v>
      </c>
    </row>
    <row r="41" spans="6:51" x14ac:dyDescent="0.2">
      <c r="Q41">
        <v>1.12E-7</v>
      </c>
      <c r="R41">
        <v>2.6339999999999999E-7</v>
      </c>
      <c r="S41">
        <v>5.51E-7</v>
      </c>
      <c r="T41">
        <v>1.0514E-6</v>
      </c>
      <c r="U41">
        <v>1.8626E-6</v>
      </c>
      <c r="V41">
        <v>3.1035999999999998E-6</v>
      </c>
      <c r="W41">
        <v>4.9123000000000004E-6</v>
      </c>
      <c r="X41">
        <v>7.4428000000000001E-6</v>
      </c>
      <c r="Y41">
        <v>1.08618E-5</v>
      </c>
      <c r="Z41">
        <v>1.5344200000000001E-5</v>
      </c>
      <c r="AA41">
        <v>2.1069399999999999E-5</v>
      </c>
      <c r="AB41">
        <v>2.82166E-5</v>
      </c>
      <c r="AC41">
        <v>3.6961700000000002E-5</v>
      </c>
      <c r="AD41">
        <v>4.7473099999999998E-5</v>
      </c>
      <c r="AE41">
        <v>5.99095E-5</v>
      </c>
      <c r="AF41">
        <v>7.4417200000000003E-5</v>
      </c>
      <c r="AG41">
        <v>9.1128499999999993E-5</v>
      </c>
      <c r="AH41">
        <v>1.101602E-4</v>
      </c>
      <c r="AI41">
        <v>1.3161290000000001E-4</v>
      </c>
      <c r="AJ41">
        <v>1.555707E-4</v>
      </c>
      <c r="AK41">
        <v>1.8210089999999999E-4</v>
      </c>
      <c r="AL41">
        <v>2.1125469999999999E-4</v>
      </c>
      <c r="AM41">
        <v>2.4306729999999999E-4</v>
      </c>
      <c r="AN41">
        <v>2.7755869999999998E-4</v>
      </c>
      <c r="AO41">
        <v>3.1473489999999998E-4</v>
      </c>
      <c r="AP41">
        <v>3.5458849999999998E-4</v>
      </c>
      <c r="AQ41">
        <v>3.9709990000000002E-4</v>
      </c>
      <c r="AR41">
        <v>4.4223819999999998E-4</v>
      </c>
      <c r="AS41">
        <v>4.8996269999999995E-4</v>
      </c>
      <c r="AT41">
        <v>5.4022339999999997E-4</v>
      </c>
      <c r="AU41">
        <v>5.9296260000000003E-4</v>
      </c>
      <c r="AV41">
        <v>6.4811549999999995E-4</v>
      </c>
      <c r="AW41">
        <v>7.0561150000000004E-4</v>
      </c>
      <c r="AX41">
        <v>7.653747E-4</v>
      </c>
      <c r="AY41">
        <v>8.2732529999999995E-4</v>
      </c>
    </row>
    <row r="42" spans="6:51" x14ac:dyDescent="0.2">
      <c r="O42">
        <v>2.04E-7</v>
      </c>
      <c r="P42">
        <v>5.2559999999999999E-7</v>
      </c>
      <c r="Q42">
        <v>1.1661999999999999E-6</v>
      </c>
      <c r="R42">
        <v>2.3120000000000001E-6</v>
      </c>
      <c r="S42">
        <v>4.1967E-6</v>
      </c>
      <c r="T42">
        <v>7.0956999999999997E-6</v>
      </c>
      <c r="U42">
        <v>1.13175E-5</v>
      </c>
      <c r="V42">
        <v>1.71932E-5</v>
      </c>
      <c r="W42">
        <v>2.5065100000000002E-5</v>
      </c>
      <c r="X42">
        <v>3.5275499999999998E-5</v>
      </c>
      <c r="Y42">
        <v>4.8156799999999999E-5</v>
      </c>
      <c r="Z42">
        <v>6.4022299999999999E-5</v>
      </c>
      <c r="AA42">
        <v>8.3159799999999996E-5</v>
      </c>
      <c r="AB42">
        <v>1.0582590000000001E-4</v>
      </c>
      <c r="AC42">
        <v>1.3224229999999999E-4</v>
      </c>
      <c r="AD42">
        <v>1.625939E-4</v>
      </c>
      <c r="AE42">
        <v>1.9702780000000001E-4</v>
      </c>
      <c r="AF42">
        <v>2.3565359999999999E-4</v>
      </c>
      <c r="AG42">
        <v>2.7854490000000002E-4</v>
      </c>
      <c r="AH42">
        <v>3.2574060000000002E-4</v>
      </c>
      <c r="AI42">
        <v>3.772475E-4</v>
      </c>
      <c r="AJ42">
        <v>4.3304310000000001E-4</v>
      </c>
      <c r="AK42">
        <v>4.9307810000000002E-4</v>
      </c>
      <c r="AL42">
        <v>5.5727960000000003E-4</v>
      </c>
      <c r="AM42">
        <v>6.2555399999999995E-4</v>
      </c>
      <c r="AN42">
        <v>6.9778929999999998E-4</v>
      </c>
      <c r="AO42">
        <v>7.7385880000000005E-4</v>
      </c>
      <c r="AP42">
        <v>8.5362280000000001E-4</v>
      </c>
      <c r="AQ42">
        <v>9.369313E-4</v>
      </c>
      <c r="AR42">
        <v>1.0236262E-3</v>
      </c>
      <c r="AS42">
        <v>1.1135431999999999E-3</v>
      </c>
      <c r="AT42">
        <v>1.2065139000000001E-3</v>
      </c>
      <c r="AU42">
        <v>1.3023666999999999E-3</v>
      </c>
      <c r="AV42">
        <v>1.4009291E-3</v>
      </c>
      <c r="AW42">
        <v>1.5020281999999999E-3</v>
      </c>
      <c r="AX42">
        <v>1.6054921000000001E-3</v>
      </c>
      <c r="AY42">
        <v>1.7111508000000001E-3</v>
      </c>
    </row>
    <row r="43" spans="6:51" x14ac:dyDescent="0.2">
      <c r="M43">
        <v>3.389E-7</v>
      </c>
      <c r="N43">
        <v>1.0008E-6</v>
      </c>
      <c r="O43">
        <v>2.4125000000000002E-6</v>
      </c>
      <c r="P43">
        <v>5.0355000000000003E-6</v>
      </c>
      <c r="Q43">
        <v>9.4344999999999992E-6</v>
      </c>
      <c r="R43">
        <v>1.62506E-5</v>
      </c>
      <c r="S43">
        <v>2.6169E-5</v>
      </c>
      <c r="T43">
        <v>3.9885100000000002E-5</v>
      </c>
      <c r="U43">
        <v>5.8074500000000001E-5</v>
      </c>
      <c r="V43">
        <v>8.1366199999999994E-5</v>
      </c>
      <c r="W43">
        <v>1.1032279999999999E-4</v>
      </c>
      <c r="X43">
        <v>1.4542670000000001E-4</v>
      </c>
      <c r="Y43">
        <v>1.870714E-4</v>
      </c>
      <c r="Z43">
        <v>2.355588E-4</v>
      </c>
      <c r="AA43">
        <v>2.9109939999999999E-4</v>
      </c>
      <c r="AB43">
        <v>3.5381619999999998E-4</v>
      </c>
      <c r="AC43">
        <v>4.2375079999999997E-4</v>
      </c>
      <c r="AD43">
        <v>5.0087069999999996E-4</v>
      </c>
      <c r="AE43">
        <v>5.8507760000000002E-4</v>
      </c>
      <c r="AF43">
        <v>6.7621589999999996E-4</v>
      </c>
      <c r="AG43">
        <v>7.7408130000000003E-4</v>
      </c>
      <c r="AH43">
        <v>8.7842910000000005E-4</v>
      </c>
      <c r="AI43">
        <v>9.8898179999999994E-4</v>
      </c>
      <c r="AJ43">
        <v>1.1054363000000001E-3</v>
      </c>
      <c r="AK43">
        <v>1.2274702000000001E-3</v>
      </c>
      <c r="AL43">
        <v>1.3547476000000001E-3</v>
      </c>
      <c r="AM43">
        <v>1.4869239999999999E-3</v>
      </c>
      <c r="AN43">
        <v>1.6236511000000001E-3</v>
      </c>
      <c r="AO43">
        <v>1.7645797999999999E-3</v>
      </c>
      <c r="AP43">
        <v>1.909364E-3</v>
      </c>
      <c r="AQ43">
        <v>2.0576626999999998E-3</v>
      </c>
      <c r="AR43">
        <v>2.2091427000000001E-3</v>
      </c>
      <c r="AS43">
        <v>2.3634797000000002E-3</v>
      </c>
      <c r="AT43">
        <v>2.5203602000000002E-3</v>
      </c>
      <c r="AU43">
        <v>2.6794821E-3</v>
      </c>
      <c r="AV43">
        <v>2.8405560000000002E-3</v>
      </c>
      <c r="AW43">
        <v>3.0033048999999999E-3</v>
      </c>
      <c r="AX43">
        <v>3.1674654000000001E-3</v>
      </c>
      <c r="AY43">
        <v>3.3327872999999999E-3</v>
      </c>
    </row>
    <row r="44" spans="6:51" x14ac:dyDescent="0.2">
      <c r="K44">
        <v>4.7430000000000001E-7</v>
      </c>
      <c r="L44">
        <v>1.7602999999999999E-6</v>
      </c>
      <c r="M44">
        <v>4.8087999999999996E-6</v>
      </c>
      <c r="N44">
        <v>1.07976E-5</v>
      </c>
      <c r="O44">
        <v>2.1119800000000001E-5</v>
      </c>
      <c r="P44">
        <v>3.7277000000000002E-5</v>
      </c>
      <c r="Q44">
        <v>6.0769500000000002E-5</v>
      </c>
      <c r="R44">
        <v>9.3001899999999995E-5</v>
      </c>
      <c r="S44">
        <v>1.3521130000000001E-4</v>
      </c>
      <c r="T44">
        <v>1.8841889999999999E-4</v>
      </c>
      <c r="U44">
        <v>2.5340680000000002E-4</v>
      </c>
      <c r="V44">
        <v>3.3071110000000001E-4</v>
      </c>
      <c r="W44">
        <v>4.2063140000000001E-4</v>
      </c>
      <c r="X44">
        <v>5.2324900000000004E-4</v>
      </c>
      <c r="Y44">
        <v>6.3845130000000005E-4</v>
      </c>
      <c r="Z44">
        <v>7.6595929999999997E-4</v>
      </c>
      <c r="AA44">
        <v>9.0535609999999999E-4</v>
      </c>
      <c r="AB44">
        <v>1.0561136E-3</v>
      </c>
      <c r="AC44">
        <v>1.2176183000000001E-3</v>
      </c>
      <c r="AD44">
        <v>1.3891941000000001E-3</v>
      </c>
      <c r="AE44">
        <v>1.5701218999999999E-3</v>
      </c>
      <c r="AF44">
        <v>1.7596577E-3</v>
      </c>
      <c r="AG44">
        <v>1.9570463000000001E-3</v>
      </c>
      <c r="AH44">
        <v>2.1615337E-3</v>
      </c>
      <c r="AI44">
        <v>2.3723766E-3</v>
      </c>
      <c r="AJ44">
        <v>2.5888501999999998E-3</v>
      </c>
      <c r="AK44">
        <v>2.8102540999999999E-3</v>
      </c>
      <c r="AL44">
        <v>3.0359164999999998E-3</v>
      </c>
      <c r="AM44">
        <v>3.2651974999999998E-3</v>
      </c>
      <c r="AN44">
        <v>3.4974911000000002E-3</v>
      </c>
      <c r="AO44">
        <v>3.7322264000000001E-3</v>
      </c>
      <c r="AP44">
        <v>3.9688683000000001E-3</v>
      </c>
      <c r="AQ44">
        <v>4.2069170000000001E-3</v>
      </c>
      <c r="AR44">
        <v>4.4459080000000002E-3</v>
      </c>
      <c r="AS44">
        <v>4.6854106000000003E-3</v>
      </c>
      <c r="AT44">
        <v>4.9250276000000004E-3</v>
      </c>
      <c r="AU44">
        <v>5.1643933999999999E-3</v>
      </c>
      <c r="AV44">
        <v>5.4031725999999997E-3</v>
      </c>
      <c r="AW44">
        <v>5.6410588999999999E-3</v>
      </c>
      <c r="AX44">
        <v>5.8777732000000003E-3</v>
      </c>
      <c r="AY44">
        <v>6.1130619999999998E-3</v>
      </c>
    </row>
    <row r="45" spans="6:51" x14ac:dyDescent="0.2">
      <c r="I45">
        <v>4.4299999999999998E-7</v>
      </c>
      <c r="J45">
        <v>2.6574000000000002E-6</v>
      </c>
      <c r="K45">
        <v>8.9788999999999997E-6</v>
      </c>
      <c r="L45">
        <v>2.2544600000000001E-5</v>
      </c>
      <c r="M45">
        <v>4.6904899999999999E-5</v>
      </c>
      <c r="N45">
        <v>8.56061E-5</v>
      </c>
      <c r="O45">
        <v>1.4184540000000001E-4</v>
      </c>
      <c r="P45">
        <v>2.1823719999999999E-4</v>
      </c>
      <c r="Q45">
        <v>3.1669279999999998E-4</v>
      </c>
      <c r="R45">
        <v>4.383934E-4</v>
      </c>
      <c r="S45">
        <v>5.838296E-4</v>
      </c>
      <c r="T45">
        <v>7.5288069999999996E-4</v>
      </c>
      <c r="U45">
        <v>9.4491499999999995E-4</v>
      </c>
      <c r="V45">
        <v>1.1588948E-3</v>
      </c>
      <c r="W45">
        <v>1.3934773000000001E-3</v>
      </c>
      <c r="X45">
        <v>1.6471056E-3</v>
      </c>
      <c r="Y45">
        <v>1.9180867000000001E-3</v>
      </c>
      <c r="Z45">
        <v>2.2046563999999999E-3</v>
      </c>
      <c r="AA45">
        <v>2.5050317999999999E-3</v>
      </c>
      <c r="AB45">
        <v>2.8174516000000001E-3</v>
      </c>
      <c r="AC45">
        <v>3.1402070999999999E-3</v>
      </c>
      <c r="AD45">
        <v>3.4716638000000001E-3</v>
      </c>
      <c r="AE45">
        <v>3.8102769999999999E-3</v>
      </c>
      <c r="AF45">
        <v>4.1546012E-3</v>
      </c>
      <c r="AG45">
        <v>4.5032952999999997E-3</v>
      </c>
      <c r="AH45">
        <v>4.8551241999999998E-3</v>
      </c>
      <c r="AI45">
        <v>5.2089581000000001E-3</v>
      </c>
      <c r="AJ45">
        <v>5.5637699000000004E-3</v>
      </c>
      <c r="AK45">
        <v>5.9186311999999998E-3</v>
      </c>
      <c r="AL45">
        <v>6.2727069000000002E-3</v>
      </c>
      <c r="AM45">
        <v>6.6252504000000002E-3</v>
      </c>
      <c r="AN45">
        <v>6.9755972000000001E-3</v>
      </c>
      <c r="AO45">
        <v>7.3231594000000002E-3</v>
      </c>
      <c r="AP45">
        <v>7.6674196999999998E-3</v>
      </c>
      <c r="AQ45">
        <v>8.0079255000000005E-3</v>
      </c>
      <c r="AR45">
        <v>8.3442839000000008E-3</v>
      </c>
      <c r="AS45">
        <v>8.6761558999999995E-3</v>
      </c>
      <c r="AT45">
        <v>9.0032516999999992E-3</v>
      </c>
      <c r="AU45">
        <v>9.3253263000000006E-3</v>
      </c>
      <c r="AV45">
        <v>9.6421748000000002E-3</v>
      </c>
      <c r="AW45">
        <v>9.9536289000000007E-3</v>
      </c>
      <c r="AX45">
        <v>1.0259552700000001E-2</v>
      </c>
      <c r="AY45">
        <v>1.05598398E-2</v>
      </c>
    </row>
    <row r="46" spans="6:51" x14ac:dyDescent="0.2">
      <c r="H46">
        <v>2.7580000000000001E-6</v>
      </c>
      <c r="I46">
        <v>1.47061E-5</v>
      </c>
      <c r="J46">
        <v>4.47977E-5</v>
      </c>
      <c r="K46">
        <v>1.025905E-4</v>
      </c>
      <c r="L46">
        <v>1.9657689999999999E-4</v>
      </c>
      <c r="M46">
        <v>3.3315850000000002E-4</v>
      </c>
      <c r="N46">
        <v>5.1625589999999995E-4</v>
      </c>
      <c r="O46">
        <v>7.4737899999999995E-4</v>
      </c>
      <c r="P46">
        <v>1.0259631E-3</v>
      </c>
      <c r="Q46">
        <v>1.3498167E-3</v>
      </c>
      <c r="R46">
        <v>1.7155796000000001E-3</v>
      </c>
      <c r="S46">
        <v>2.1191346000000002E-3</v>
      </c>
      <c r="T46">
        <v>2.5559496999999999E-3</v>
      </c>
      <c r="U46">
        <v>3.0213445000000002E-3</v>
      </c>
      <c r="V46">
        <v>3.5106881000000001E-3</v>
      </c>
      <c r="W46">
        <v>4.0195363000000003E-3</v>
      </c>
      <c r="X46">
        <v>4.5437220999999996E-3</v>
      </c>
      <c r="Y46">
        <v>5.0794090999999996E-3</v>
      </c>
      <c r="Z46">
        <v>5.6231173000000001E-3</v>
      </c>
      <c r="AA46">
        <v>6.1717292E-3</v>
      </c>
      <c r="AB46">
        <v>6.7224824000000002E-3</v>
      </c>
      <c r="AC46">
        <v>7.2729526999999999E-3</v>
      </c>
      <c r="AD46">
        <v>7.8210329000000002E-3</v>
      </c>
      <c r="AE46">
        <v>8.3649069999999996E-3</v>
      </c>
      <c r="AF46">
        <v>8.9030245000000004E-3</v>
      </c>
      <c r="AG46">
        <v>9.4340741000000002E-3</v>
      </c>
      <c r="AH46">
        <v>9.9569588000000004E-3</v>
      </c>
      <c r="AI46">
        <v>1.0470771800000001E-2</v>
      </c>
      <c r="AJ46">
        <v>1.0974774200000001E-2</v>
      </c>
      <c r="AK46">
        <v>1.1468374999999999E-2</v>
      </c>
      <c r="AL46">
        <v>1.1951112700000001E-2</v>
      </c>
      <c r="AM46">
        <v>1.2422638200000001E-2</v>
      </c>
      <c r="AN46">
        <v>1.2882700299999999E-2</v>
      </c>
      <c r="AO46">
        <v>1.33311321E-2</v>
      </c>
      <c r="AP46">
        <v>1.37678395E-2</v>
      </c>
      <c r="AQ46">
        <v>1.41927906E-2</v>
      </c>
      <c r="AR46">
        <v>1.46060064E-2</v>
      </c>
      <c r="AS46">
        <v>1.50075529E-2</v>
      </c>
      <c r="AT46">
        <v>1.5397533999999999E-2</v>
      </c>
      <c r="AU46">
        <v>1.5776085299999999E-2</v>
      </c>
      <c r="AV46">
        <v>1.6143368700000001E-2</v>
      </c>
      <c r="AW46">
        <v>1.6499567600000001E-2</v>
      </c>
      <c r="AX46">
        <v>1.6844883000000001E-2</v>
      </c>
      <c r="AY46">
        <v>1.7179529700000001E-2</v>
      </c>
    </row>
    <row r="47" spans="6:51" x14ac:dyDescent="0.2">
      <c r="G47">
        <v>1.7171099999999999E-5</v>
      </c>
      <c r="H47">
        <v>8.0113799999999999E-5</v>
      </c>
      <c r="I47">
        <v>2.174028E-4</v>
      </c>
      <c r="J47">
        <v>4.4996069999999998E-4</v>
      </c>
      <c r="K47">
        <v>7.8848510000000004E-4</v>
      </c>
      <c r="L47">
        <v>1.2342148E-3</v>
      </c>
      <c r="M47">
        <v>1.7811732999999999E-3</v>
      </c>
      <c r="N47">
        <v>2.4186749999999999E-3</v>
      </c>
      <c r="O47">
        <v>3.1334986E-3</v>
      </c>
      <c r="P47">
        <v>3.9115297999999998E-3</v>
      </c>
      <c r="Q47">
        <v>4.7388841000000001E-3</v>
      </c>
      <c r="R47">
        <v>5.6026017000000003E-3</v>
      </c>
      <c r="S47">
        <v>6.4910235E-3</v>
      </c>
      <c r="T47">
        <v>7.3939473000000002E-3</v>
      </c>
      <c r="U47">
        <v>8.3026413999999996E-3</v>
      </c>
      <c r="V47">
        <v>9.2097714000000004E-3</v>
      </c>
      <c r="W47">
        <v>1.0109281100000001E-2</v>
      </c>
      <c r="X47">
        <v>1.09962527E-2</v>
      </c>
      <c r="Y47">
        <v>1.18667619E-2</v>
      </c>
      <c r="Z47">
        <v>1.27177388E-2</v>
      </c>
      <c r="AA47">
        <v>1.3546839999999999E-2</v>
      </c>
      <c r="AB47">
        <v>1.43523331E-2</v>
      </c>
      <c r="AC47">
        <v>1.51329949E-2</v>
      </c>
      <c r="AD47">
        <v>1.5888024000000001E-2</v>
      </c>
      <c r="AE47">
        <v>1.6616965000000001E-2</v>
      </c>
      <c r="AF47">
        <v>1.7319644299999999E-2</v>
      </c>
      <c r="AG47">
        <v>1.7996115699999999E-2</v>
      </c>
      <c r="AH47">
        <v>1.8646615200000001E-2</v>
      </c>
      <c r="AI47">
        <v>1.92715223E-2</v>
      </c>
      <c r="AJ47">
        <v>1.98713287E-2</v>
      </c>
      <c r="AK47">
        <v>2.0446611900000002E-2</v>
      </c>
      <c r="AL47">
        <v>2.0998013199999999E-2</v>
      </c>
      <c r="AM47">
        <v>2.1526220299999999E-2</v>
      </c>
      <c r="AN47">
        <v>2.20319522E-2</v>
      </c>
      <c r="AO47">
        <v>2.2515947800000002E-2</v>
      </c>
      <c r="AP47">
        <v>2.2978955499999999E-2</v>
      </c>
      <c r="AQ47">
        <v>2.3421726100000002E-2</v>
      </c>
      <c r="AR47">
        <v>2.3845006299999999E-2</v>
      </c>
      <c r="AS47">
        <v>2.4249533699999999E-2</v>
      </c>
      <c r="AT47">
        <v>2.4636033099999999E-2</v>
      </c>
      <c r="AU47">
        <v>2.5005213299999999E-2</v>
      </c>
      <c r="AV47">
        <v>2.5357765399999999E-2</v>
      </c>
      <c r="AW47">
        <v>2.56943603E-2</v>
      </c>
      <c r="AX47">
        <v>2.6015648400000001E-2</v>
      </c>
      <c r="AY47">
        <v>2.6322258500000001E-2</v>
      </c>
    </row>
    <row r="48" spans="6:51" x14ac:dyDescent="0.2">
      <c r="F48">
        <v>1.069051E-4</v>
      </c>
      <c r="G48">
        <v>4.2752429999999998E-4</v>
      </c>
      <c r="H48">
        <v>1.0181099E-3</v>
      </c>
      <c r="I48">
        <v>1.8834259000000001E-3</v>
      </c>
      <c r="J48">
        <v>2.9936176999999999E-3</v>
      </c>
      <c r="K48">
        <v>4.3017189999999999E-3</v>
      </c>
      <c r="L48">
        <v>5.7562408000000004E-3</v>
      </c>
      <c r="M48">
        <v>7.3085681000000001E-3</v>
      </c>
      <c r="N48">
        <v>8.9165075000000003E-3</v>
      </c>
      <c r="O48">
        <v>1.0545424100000001E-2</v>
      </c>
      <c r="P48">
        <v>1.2168052299999999E-2</v>
      </c>
      <c r="Q48">
        <v>1.3763679500000001E-2</v>
      </c>
      <c r="R48">
        <v>1.53171136E-2</v>
      </c>
      <c r="S48">
        <v>1.6817649399999999E-2</v>
      </c>
      <c r="T48">
        <v>1.8258135799999999E-2</v>
      </c>
      <c r="U48">
        <v>1.9634181600000002E-2</v>
      </c>
      <c r="V48">
        <v>2.09435013E-2</v>
      </c>
      <c r="W48">
        <v>2.21853898E-2</v>
      </c>
      <c r="X48">
        <v>2.3360307300000001E-2</v>
      </c>
      <c r="Y48">
        <v>2.4469555399999999E-2</v>
      </c>
      <c r="Z48">
        <v>2.55150273E-2</v>
      </c>
      <c r="AA48">
        <v>2.6499016399999999E-2</v>
      </c>
      <c r="AB48">
        <v>2.7424070799999999E-2</v>
      </c>
      <c r="AC48">
        <v>2.8292884500000001E-2</v>
      </c>
      <c r="AD48">
        <v>2.9108215999999999E-2</v>
      </c>
      <c r="AE48">
        <v>2.98728285E-2</v>
      </c>
      <c r="AF48">
        <v>3.0589446700000002E-2</v>
      </c>
      <c r="AG48">
        <v>3.1260726400000001E-2</v>
      </c>
      <c r="AH48">
        <v>3.1889233199999999E-2</v>
      </c>
      <c r="AI48">
        <v>3.2477428900000001E-2</v>
      </c>
      <c r="AJ48">
        <v>3.3027663200000001E-2</v>
      </c>
      <c r="AK48">
        <v>3.3542169699999999E-2</v>
      </c>
      <c r="AL48">
        <v>3.4023064200000001E-2</v>
      </c>
      <c r="AM48">
        <v>3.4472346100000002E-2</v>
      </c>
      <c r="AN48">
        <v>3.4891900900000002E-2</v>
      </c>
      <c r="AO48">
        <v>3.5283503399999999E-2</v>
      </c>
      <c r="AP48">
        <v>3.5648822599999998E-2</v>
      </c>
      <c r="AQ48">
        <v>3.5989426099999999E-2</v>
      </c>
      <c r="AR48">
        <v>3.63067854E-2</v>
      </c>
      <c r="AS48">
        <v>3.6602280700000003E-2</v>
      </c>
      <c r="AT48">
        <v>3.6877206400000001E-2</v>
      </c>
      <c r="AU48">
        <v>3.7132775999999999E-2</v>
      </c>
      <c r="AV48">
        <v>3.7370126900000002E-2</v>
      </c>
      <c r="AW48">
        <v>3.7590325399999999E-2</v>
      </c>
      <c r="AX48">
        <v>3.7794370700000003E-2</v>
      </c>
      <c r="AY48">
        <v>3.7983199600000003E-2</v>
      </c>
    </row>
    <row r="49" spans="1:51" x14ac:dyDescent="0.2">
      <c r="E49">
        <v>6.6557770000000001E-4</v>
      </c>
      <c r="F49">
        <v>2.2180933000000001E-3</v>
      </c>
      <c r="G49">
        <v>4.5460685000000001E-3</v>
      </c>
      <c r="H49">
        <v>7.4149530000000002E-3</v>
      </c>
      <c r="I49">
        <v>1.0588355000000001E-2</v>
      </c>
      <c r="J49">
        <v>1.38752383E-2</v>
      </c>
      <c r="K49">
        <v>1.71384183E-2</v>
      </c>
      <c r="L49">
        <v>2.0287551899999999E-2</v>
      </c>
      <c r="M49">
        <v>2.3268115900000001E-2</v>
      </c>
      <c r="N49">
        <v>2.60510664E-2</v>
      </c>
      <c r="O49">
        <v>2.8624601600000001E-2</v>
      </c>
      <c r="P49">
        <v>3.0988101699999999E-2</v>
      </c>
      <c r="Q49">
        <v>3.3147874399999999E-2</v>
      </c>
      <c r="R49">
        <v>3.5114260000000001E-2</v>
      </c>
      <c r="S49">
        <v>3.6899708599999997E-2</v>
      </c>
      <c r="T49">
        <v>3.8517534399999998E-2</v>
      </c>
      <c r="U49">
        <v>3.9981127599999999E-2</v>
      </c>
      <c r="V49">
        <v>4.13034756E-2</v>
      </c>
      <c r="W49">
        <v>4.2496887400000002E-2</v>
      </c>
      <c r="X49">
        <v>4.3572850400000002E-2</v>
      </c>
      <c r="Y49">
        <v>4.4541972999999999E-2</v>
      </c>
      <c r="Z49">
        <v>4.5413980600000001E-2</v>
      </c>
      <c r="AA49">
        <v>4.6197743999999999E-2</v>
      </c>
      <c r="AB49">
        <v>4.6901326E-2</v>
      </c>
      <c r="AC49">
        <v>4.7532037399999998E-2</v>
      </c>
      <c r="AD49">
        <v>4.8096497699999997E-2</v>
      </c>
      <c r="AE49">
        <v>4.8600694600000001E-2</v>
      </c>
      <c r="AF49">
        <v>4.9050042299999999E-2</v>
      </c>
      <c r="AG49">
        <v>4.9449435600000001E-2</v>
      </c>
      <c r="AH49">
        <v>4.9803301600000002E-2</v>
      </c>
      <c r="AI49">
        <v>5.0115645100000002E-2</v>
      </c>
      <c r="AJ49">
        <v>5.0390091499999998E-2</v>
      </c>
      <c r="AK49">
        <v>5.0629924799999997E-2</v>
      </c>
      <c r="AL49">
        <v>5.0838122299999997E-2</v>
      </c>
      <c r="AM49">
        <v>5.1017385200000001E-2</v>
      </c>
      <c r="AN49">
        <v>5.1170166900000001E-2</v>
      </c>
      <c r="AO49">
        <v>5.1298697099999999E-2</v>
      </c>
      <c r="AP49">
        <v>5.14050047E-2</v>
      </c>
      <c r="AQ49">
        <v>5.14909375E-2</v>
      </c>
      <c r="AR49">
        <v>5.1558179699999998E-2</v>
      </c>
      <c r="AS49">
        <v>5.1608268399999997E-2</v>
      </c>
      <c r="AT49">
        <v>5.1642607E-2</v>
      </c>
      <c r="AU49">
        <v>5.1662478999999997E-2</v>
      </c>
      <c r="AV49">
        <v>5.1669058300000001E-2</v>
      </c>
      <c r="AW49">
        <v>5.1663420500000001E-2</v>
      </c>
      <c r="AX49">
        <v>5.1646551200000002E-2</v>
      </c>
      <c r="AY49">
        <v>5.1619354800000003E-2</v>
      </c>
    </row>
    <row r="50" spans="1:51" x14ac:dyDescent="0.2">
      <c r="D50">
        <v>4.1438029000000001E-3</v>
      </c>
      <c r="E50">
        <v>1.10476551E-2</v>
      </c>
      <c r="F50">
        <v>1.8983885900000001E-2</v>
      </c>
      <c r="G50">
        <v>2.6839861E-2</v>
      </c>
      <c r="H50">
        <v>3.4056595699999997E-2</v>
      </c>
      <c r="I50">
        <v>4.0420536899999998E-2</v>
      </c>
      <c r="J50">
        <v>4.5902456899999999E-2</v>
      </c>
      <c r="K50">
        <v>5.0559702800000002E-2</v>
      </c>
      <c r="L50">
        <v>5.4483126700000002E-2</v>
      </c>
      <c r="M50">
        <v>5.7770478399999999E-2</v>
      </c>
      <c r="N50">
        <v>6.0514211800000002E-2</v>
      </c>
      <c r="O50">
        <v>6.2796717200000005E-2</v>
      </c>
      <c r="P50">
        <v>6.4689181499999998E-2</v>
      </c>
      <c r="Q50">
        <v>6.6252097300000007E-2</v>
      </c>
      <c r="R50">
        <v>6.7536421299999996E-2</v>
      </c>
      <c r="S50">
        <v>6.8584901300000001E-2</v>
      </c>
      <c r="T50">
        <v>6.9433351700000007E-2</v>
      </c>
      <c r="U50">
        <v>7.0111791300000004E-2</v>
      </c>
      <c r="V50">
        <v>7.0645419799999998E-2</v>
      </c>
      <c r="W50">
        <v>7.1055438100000007E-2</v>
      </c>
      <c r="X50">
        <v>7.1359729100000005E-2</v>
      </c>
      <c r="Y50">
        <v>7.1573419900000004E-2</v>
      </c>
      <c r="Z50">
        <v>7.1709343499999995E-2</v>
      </c>
      <c r="AA50">
        <v>7.1778419199999999E-2</v>
      </c>
      <c r="AB50">
        <v>7.1789964499999998E-2</v>
      </c>
      <c r="AC50">
        <v>7.1751953199999996E-2</v>
      </c>
      <c r="AD50">
        <v>7.1671227399999995E-2</v>
      </c>
      <c r="AE50">
        <v>7.1553673700000001E-2</v>
      </c>
      <c r="AF50">
        <v>7.1404369300000006E-2</v>
      </c>
      <c r="AG50">
        <v>7.1227703899999995E-2</v>
      </c>
      <c r="AH50">
        <v>7.1027480800000001E-2</v>
      </c>
      <c r="AI50">
        <v>7.0807002600000002E-2</v>
      </c>
      <c r="AJ50">
        <v>7.0569142599999996E-2</v>
      </c>
      <c r="AK50">
        <v>7.0316405100000007E-2</v>
      </c>
      <c r="AL50">
        <v>7.0050976599999995E-2</v>
      </c>
      <c r="AM50">
        <v>6.9774769E-2</v>
      </c>
      <c r="AN50">
        <v>6.9489456399999996E-2</v>
      </c>
      <c r="AO50">
        <v>6.9196506599999999E-2</v>
      </c>
      <c r="AP50">
        <v>6.8897208200000004E-2</v>
      </c>
      <c r="AQ50">
        <v>6.8592693100000005E-2</v>
      </c>
      <c r="AR50">
        <v>6.8283956899999998E-2</v>
      </c>
      <c r="AS50">
        <v>6.7971875500000001E-2</v>
      </c>
      <c r="AT50">
        <v>6.7657220300000001E-2</v>
      </c>
      <c r="AU50">
        <v>6.7340670699999994E-2</v>
      </c>
      <c r="AV50">
        <v>6.7022825199999997E-2</v>
      </c>
      <c r="AW50">
        <v>6.6704210999999999E-2</v>
      </c>
      <c r="AX50">
        <v>6.6385292700000001E-2</v>
      </c>
      <c r="AY50">
        <v>6.60664792E-2</v>
      </c>
    </row>
    <row r="51" spans="1:51" x14ac:dyDescent="0.2">
      <c r="C51">
        <v>2.5798793399999999E-2</v>
      </c>
      <c r="D51">
        <v>5.1585978599999999E-2</v>
      </c>
      <c r="E51">
        <v>7.1631076399999993E-2</v>
      </c>
      <c r="F51">
        <v>8.5937959199999997E-2</v>
      </c>
      <c r="G51">
        <v>9.5763476200000003E-2</v>
      </c>
      <c r="H51">
        <v>0.102350091</v>
      </c>
      <c r="I51">
        <v>0.10665641789999999</v>
      </c>
      <c r="J51">
        <v>0.1093663746</v>
      </c>
      <c r="K51">
        <v>0.11095526579999999</v>
      </c>
      <c r="L51">
        <v>0.1117518951</v>
      </c>
      <c r="M51">
        <v>0.11198492090000001</v>
      </c>
      <c r="N51">
        <v>0.1118149002</v>
      </c>
      <c r="O51">
        <v>0.1113558457</v>
      </c>
      <c r="P51">
        <v>0.110689642</v>
      </c>
      <c r="Q51">
        <v>0.1098757284</v>
      </c>
      <c r="R51">
        <v>0.10895766580000001</v>
      </c>
      <c r="S51">
        <v>0.1079676425</v>
      </c>
      <c r="T51">
        <v>0.1069296062</v>
      </c>
      <c r="U51">
        <v>0.10586146840000001</v>
      </c>
      <c r="V51">
        <v>0.10477667540000001</v>
      </c>
      <c r="W51">
        <v>0.1036853415</v>
      </c>
      <c r="X51">
        <v>0.1025950741</v>
      </c>
      <c r="Y51">
        <v>0.10151158189999999</v>
      </c>
      <c r="Z51">
        <v>0.1004391265</v>
      </c>
      <c r="AA51">
        <v>9.9380861000000001E-2</v>
      </c>
      <c r="AB51">
        <v>9.8339085699999995E-2</v>
      </c>
      <c r="AC51">
        <v>9.7315443000000001E-2</v>
      </c>
      <c r="AD51">
        <v>9.6311066000000001E-2</v>
      </c>
      <c r="AE51">
        <v>9.5326693300000001E-2</v>
      </c>
      <c r="AF51">
        <v>9.4362758000000005E-2</v>
      </c>
      <c r="AG51">
        <v>9.34194567E-2</v>
      </c>
      <c r="AH51">
        <v>9.2496803599999997E-2</v>
      </c>
      <c r="AI51">
        <v>9.1594672399999993E-2</v>
      </c>
      <c r="AJ51">
        <v>9.0712830199999997E-2</v>
      </c>
      <c r="AK51">
        <v>8.9850963000000006E-2</v>
      </c>
      <c r="AL51">
        <v>8.9008696799999995E-2</v>
      </c>
      <c r="AM51">
        <v>8.8185613900000001E-2</v>
      </c>
      <c r="AN51">
        <v>8.7381265499999999E-2</v>
      </c>
      <c r="AO51">
        <v>8.6595182300000004E-2</v>
      </c>
      <c r="AP51">
        <v>8.5826882199999996E-2</v>
      </c>
      <c r="AQ51">
        <v>8.5075877100000002E-2</v>
      </c>
      <c r="AR51">
        <v>8.4341677099999998E-2</v>
      </c>
      <c r="AS51">
        <v>8.3623795200000003E-2</v>
      </c>
      <c r="AT51">
        <v>8.2921749500000003E-2</v>
      </c>
      <c r="AU51">
        <v>8.2235066400000001E-2</v>
      </c>
      <c r="AV51">
        <v>8.1563281200000004E-2</v>
      </c>
      <c r="AW51">
        <v>8.0905940400000001E-2</v>
      </c>
      <c r="AX51">
        <v>8.0262602200000005E-2</v>
      </c>
      <c r="AY51">
        <v>7.9632836900000004E-2</v>
      </c>
    </row>
    <row r="52" spans="1:51" x14ac:dyDescent="0.2">
      <c r="B52">
        <v>0.160620028</v>
      </c>
      <c r="C52">
        <v>0.2141118568</v>
      </c>
      <c r="D52">
        <v>0.2274426799</v>
      </c>
      <c r="E52">
        <v>0.22590531280000001</v>
      </c>
      <c r="F52">
        <v>0.2191680335</v>
      </c>
      <c r="G52">
        <v>0.21094822469999999</v>
      </c>
      <c r="H52">
        <v>0.202659905</v>
      </c>
      <c r="I52">
        <v>0.1948129764</v>
      </c>
      <c r="J52">
        <v>0.1875600644</v>
      </c>
      <c r="K52">
        <v>0.18091419380000001</v>
      </c>
      <c r="L52">
        <v>0.1748367639</v>
      </c>
      <c r="M52">
        <v>0.16927333110000001</v>
      </c>
      <c r="N52">
        <v>0.16416796789999999</v>
      </c>
      <c r="O52">
        <v>0.1594686931</v>
      </c>
      <c r="P52">
        <v>0.15512916409999999</v>
      </c>
      <c r="Q52">
        <v>0.1511088287</v>
      </c>
      <c r="R52">
        <v>0.14737248450000001</v>
      </c>
      <c r="S52">
        <v>0.1438896499</v>
      </c>
      <c r="T52">
        <v>0.140633921</v>
      </c>
      <c r="U52">
        <v>0.1375823803</v>
      </c>
      <c r="V52">
        <v>0.13471507869999999</v>
      </c>
      <c r="W52">
        <v>0.13201459199999999</v>
      </c>
      <c r="X52">
        <v>0.12946564739999999</v>
      </c>
      <c r="Y52">
        <v>0.1270548081</v>
      </c>
      <c r="Z52">
        <v>0.1247702094</v>
      </c>
      <c r="AA52">
        <v>0.1226013376</v>
      </c>
      <c r="AB52">
        <v>0.1205388434</v>
      </c>
      <c r="AC52">
        <v>0.1185743851</v>
      </c>
      <c r="AD52">
        <v>0.11670049590000001</v>
      </c>
      <c r="AE52">
        <v>0.1149104717</v>
      </c>
      <c r="AF52">
        <v>0.1131982751</v>
      </c>
      <c r="AG52">
        <v>0.11155845389999999</v>
      </c>
      <c r="AH52">
        <v>0.1099860709</v>
      </c>
      <c r="AI52">
        <v>0.108476644</v>
      </c>
      <c r="AJ52">
        <v>0.10702609389999999</v>
      </c>
      <c r="AK52">
        <v>0.10563069949999999</v>
      </c>
      <c r="AL52">
        <v>0.1042870585</v>
      </c>
      <c r="AM52">
        <v>0.10299205359999999</v>
      </c>
      <c r="AN52">
        <v>0.10174282279999999</v>
      </c>
      <c r="AO52">
        <v>0.10053673289999999</v>
      </c>
      <c r="AP52">
        <v>9.9371357300000004E-2</v>
      </c>
      <c r="AQ52">
        <v>9.82444554E-2</v>
      </c>
      <c r="AR52">
        <v>9.7153954599999995E-2</v>
      </c>
      <c r="AS52">
        <v>9.6097934900000001E-2</v>
      </c>
      <c r="AT52">
        <v>9.5074614500000001E-2</v>
      </c>
      <c r="AU52">
        <v>9.4082337599999996E-2</v>
      </c>
      <c r="AV52">
        <v>9.3119562899999994E-2</v>
      </c>
      <c r="AW52">
        <v>9.2184853999999997E-2</v>
      </c>
      <c r="AX52">
        <v>9.1276870299999993E-2</v>
      </c>
      <c r="AY52">
        <v>9.0394358699999997E-2</v>
      </c>
    </row>
    <row r="53" spans="1:51" x14ac:dyDescent="0.2">
      <c r="A53">
        <v>1</v>
      </c>
      <c r="B53">
        <v>0.66651668389999996</v>
      </c>
      <c r="C53">
        <v>0.4997751023</v>
      </c>
      <c r="D53">
        <v>0.40713260309999999</v>
      </c>
      <c r="E53">
        <v>0.3499936515</v>
      </c>
      <c r="F53">
        <v>0.31137807839999998</v>
      </c>
      <c r="G53">
        <v>0.28331089809999999</v>
      </c>
      <c r="H53">
        <v>0.2617618478</v>
      </c>
      <c r="I53">
        <v>0.24453355390000001</v>
      </c>
      <c r="J53">
        <v>0.23033771680000001</v>
      </c>
      <c r="K53">
        <v>0.21836843010000001</v>
      </c>
      <c r="L53">
        <v>0.20809304670000001</v>
      </c>
      <c r="M53">
        <v>0.19914320320000001</v>
      </c>
      <c r="N53">
        <v>0.19125455669999999</v>
      </c>
      <c r="O53">
        <v>0.18423158240000001</v>
      </c>
      <c r="P53">
        <v>0.1779259886</v>
      </c>
      <c r="Q53">
        <v>0.17222291470000001</v>
      </c>
      <c r="R53">
        <v>0.16703178399999999</v>
      </c>
      <c r="S53">
        <v>0.1622800553</v>
      </c>
      <c r="T53">
        <v>0.15790884029999999</v>
      </c>
      <c r="U53">
        <v>0.15386976059999999</v>
      </c>
      <c r="V53">
        <v>0.15012264789999999</v>
      </c>
      <c r="W53">
        <v>0.1466338324</v>
      </c>
      <c r="X53">
        <v>0.14337484859999999</v>
      </c>
      <c r="Y53">
        <v>0.14032144369999999</v>
      </c>
      <c r="Z53">
        <v>0.13745280709999999</v>
      </c>
      <c r="AA53">
        <v>0.13475096650000001</v>
      </c>
      <c r="AB53">
        <v>0.13220030799999999</v>
      </c>
      <c r="AC53">
        <v>0.12978719259999999</v>
      </c>
      <c r="AD53">
        <v>0.1274996454</v>
      </c>
      <c r="AE53">
        <v>0.1253271037</v>
      </c>
      <c r="AF53">
        <v>0.1232602095</v>
      </c>
      <c r="AG53">
        <v>0.12129063819999999</v>
      </c>
      <c r="AH53">
        <v>0.1194109563</v>
      </c>
      <c r="AI53">
        <v>0.11761450230000001</v>
      </c>
      <c r="AJ53">
        <v>0.1158952868</v>
      </c>
      <c r="AK53">
        <v>0.11424790730000001</v>
      </c>
      <c r="AL53">
        <v>0.11266747639999999</v>
      </c>
      <c r="AM53">
        <v>0.1111495604</v>
      </c>
      <c r="AN53">
        <v>0.1096901265</v>
      </c>
      <c r="AO53">
        <v>0.1082854972</v>
      </c>
      <c r="AP53">
        <v>0.10693231089999999</v>
      </c>
      <c r="AQ53">
        <v>0.1056274884</v>
      </c>
      <c r="AR53">
        <v>0.10436820250000001</v>
      </c>
      <c r="AS53">
        <v>0.10315185239999999</v>
      </c>
      <c r="AT53">
        <v>0.1019760406</v>
      </c>
      <c r="AU53">
        <v>0.1008385534</v>
      </c>
      <c r="AV53">
        <v>9.9737342699999995E-2</v>
      </c>
      <c r="AW53">
        <v>9.8670510599999997E-2</v>
      </c>
      <c r="AX53">
        <v>9.7636295499999998E-2</v>
      </c>
      <c r="AY53">
        <v>9.6633059699999996E-2</v>
      </c>
    </row>
    <row r="54" spans="1:51" x14ac:dyDescent="0.2">
      <c r="B54">
        <v>0.17286328810000001</v>
      </c>
      <c r="C54">
        <v>0.2304325311</v>
      </c>
      <c r="D54">
        <v>0.24477949609999999</v>
      </c>
      <c r="E54">
        <v>0.2431249432</v>
      </c>
      <c r="F54">
        <v>0.23587411480000001</v>
      </c>
      <c r="G54">
        <v>0.22702775119999999</v>
      </c>
      <c r="H54">
        <v>0.21810765439999999</v>
      </c>
      <c r="I54">
        <v>0.20966259370000001</v>
      </c>
      <c r="J54">
        <v>0.20185682860000001</v>
      </c>
      <c r="K54">
        <v>0.19470437660000001</v>
      </c>
      <c r="L54">
        <v>0.18816369469999999</v>
      </c>
      <c r="M54">
        <v>0.18217618930000001</v>
      </c>
      <c r="N54">
        <v>0.17668166969999999</v>
      </c>
      <c r="O54">
        <v>0.17162419279999999</v>
      </c>
      <c r="P54">
        <v>0.16695388319999999</v>
      </c>
      <c r="Q54">
        <v>0.16262709780000001</v>
      </c>
      <c r="R54">
        <v>0.15860595080000001</v>
      </c>
      <c r="S54">
        <v>0.1548576371</v>
      </c>
      <c r="T54">
        <v>0.15135374030000001</v>
      </c>
      <c r="U54">
        <v>0.148069596</v>
      </c>
      <c r="V54">
        <v>0.1449837343</v>
      </c>
      <c r="W54">
        <v>0.1420774031</v>
      </c>
      <c r="X54">
        <v>0.1393341652</v>
      </c>
      <c r="Y54">
        <v>0.13673955970000001</v>
      </c>
      <c r="Z54">
        <v>0.13428081750000001</v>
      </c>
      <c r="AA54">
        <v>0.13194662339999999</v>
      </c>
      <c r="AB54">
        <v>0.12972691559999999</v>
      </c>
      <c r="AC54">
        <v>0.1276127165</v>
      </c>
      <c r="AD54">
        <v>0.1255959901</v>
      </c>
      <c r="AE54">
        <v>0.1236695213</v>
      </c>
      <c r="AF54">
        <v>0.1218268126</v>
      </c>
      <c r="AG54">
        <v>0.120061996</v>
      </c>
      <c r="AH54">
        <v>0.1183697581</v>
      </c>
      <c r="AI54">
        <v>0.1167452752</v>
      </c>
      <c r="AJ54">
        <v>0.115184157</v>
      </c>
      <c r="AK54">
        <v>0.1136823986</v>
      </c>
      <c r="AL54">
        <v>0.1122363386</v>
      </c>
      <c r="AM54">
        <v>0.110842622</v>
      </c>
      <c r="AN54">
        <v>0.10949816850000001</v>
      </c>
      <c r="AO54">
        <v>0.1082001444</v>
      </c>
      <c r="AP54">
        <v>0.1069459381</v>
      </c>
      <c r="AQ54">
        <v>0.1057331381</v>
      </c>
      <c r="AR54">
        <v>0.1045595139</v>
      </c>
      <c r="AS54">
        <v>0.1034229991</v>
      </c>
      <c r="AT54">
        <v>0.10232167609999999</v>
      </c>
      <c r="AU54">
        <v>0.1012537629</v>
      </c>
      <c r="AV54">
        <v>0.10021760070000001</v>
      </c>
      <c r="AW54">
        <v>9.9211643700000005E-2</v>
      </c>
      <c r="AX54">
        <v>9.8234448899999993E-2</v>
      </c>
      <c r="AY54">
        <v>9.7284667899999996E-2</v>
      </c>
    </row>
    <row r="55" spans="1:51" x14ac:dyDescent="0.2">
      <c r="C55">
        <v>2.9881716400000001E-2</v>
      </c>
      <c r="D55">
        <v>5.9749987499999997E-2</v>
      </c>
      <c r="E55">
        <v>8.2967427100000005E-2</v>
      </c>
      <c r="F55">
        <v>9.9538520399999997E-2</v>
      </c>
      <c r="G55">
        <v>0.110919026</v>
      </c>
      <c r="H55">
        <v>0.11854803999999999</v>
      </c>
      <c r="I55">
        <v>0.12353588729999999</v>
      </c>
      <c r="J55">
        <v>0.12667472229999999</v>
      </c>
      <c r="K55">
        <v>0.12851507179999999</v>
      </c>
      <c r="L55">
        <v>0.1294377759</v>
      </c>
      <c r="M55">
        <v>0.1297076804</v>
      </c>
      <c r="N55">
        <v>0.12951075209999999</v>
      </c>
      <c r="O55">
        <v>0.1289790475</v>
      </c>
      <c r="P55">
        <v>0.12820741029999999</v>
      </c>
      <c r="Q55">
        <v>0.1272646865</v>
      </c>
      <c r="R55">
        <v>0.12620133119999999</v>
      </c>
      <c r="S55">
        <v>0.1250546266</v>
      </c>
      <c r="T55">
        <v>0.1238523104</v>
      </c>
      <c r="U55">
        <v>0.1226151288</v>
      </c>
      <c r="V55">
        <v>0.12135865630000001</v>
      </c>
      <c r="W55">
        <v>0.1200946076</v>
      </c>
      <c r="X55">
        <v>0.1188317943</v>
      </c>
      <c r="Y55">
        <v>0.11757682830000001</v>
      </c>
      <c r="Z55">
        <v>0.11633464590000001</v>
      </c>
      <c r="AA55">
        <v>0.115108899</v>
      </c>
      <c r="AB55">
        <v>0.1139022521</v>
      </c>
      <c r="AC55">
        <v>0.1127166075</v>
      </c>
      <c r="AD55">
        <v>0.11155327750000001</v>
      </c>
      <c r="AE55">
        <v>0.1104131178</v>
      </c>
      <c r="AF55">
        <v>0.1092966298</v>
      </c>
      <c r="AG55">
        <v>0.1082040415</v>
      </c>
      <c r="AH55">
        <v>0.1071353691</v>
      </c>
      <c r="AI55">
        <v>0.10609046649999999</v>
      </c>
      <c r="AJ55">
        <v>0.10506906370000001</v>
      </c>
      <c r="AK55">
        <v>0.1040707972</v>
      </c>
      <c r="AL55">
        <v>0.10309523380000001</v>
      </c>
      <c r="AM55">
        <v>0.1021418895</v>
      </c>
      <c r="AN55">
        <v>0.10121024469999999</v>
      </c>
      <c r="AO55">
        <v>0.1002997558</v>
      </c>
      <c r="AP55">
        <v>9.9409864400000006E-2</v>
      </c>
      <c r="AQ55">
        <v>9.8540005E-2</v>
      </c>
      <c r="AR55">
        <v>9.7689610400000002E-2</v>
      </c>
      <c r="AS55">
        <v>9.6858116300000005E-2</v>
      </c>
      <c r="AT55">
        <v>9.6044964799999993E-2</v>
      </c>
      <c r="AU55">
        <v>9.5249606900000006E-2</v>
      </c>
      <c r="AV55">
        <v>9.4471504900000003E-2</v>
      </c>
      <c r="AW55">
        <v>9.3710133299999998E-2</v>
      </c>
      <c r="AX55">
        <v>9.2964980200000005E-2</v>
      </c>
      <c r="AY55">
        <v>9.2235548099999995E-2</v>
      </c>
    </row>
    <row r="56" spans="1:51" x14ac:dyDescent="0.2">
      <c r="D56">
        <v>5.1654517000000004E-3</v>
      </c>
      <c r="E56">
        <v>1.37714391E-2</v>
      </c>
      <c r="F56">
        <v>2.3664336500000001E-2</v>
      </c>
      <c r="G56">
        <v>3.3457191300000001E-2</v>
      </c>
      <c r="H56">
        <v>4.2453201900000001E-2</v>
      </c>
      <c r="I56">
        <v>5.0386163900000003E-2</v>
      </c>
      <c r="J56">
        <v>5.7219643700000003E-2</v>
      </c>
      <c r="K56">
        <v>6.3025127099999995E-2</v>
      </c>
      <c r="L56">
        <v>6.79158656E-2</v>
      </c>
      <c r="M56">
        <v>7.2013709300000006E-2</v>
      </c>
      <c r="N56">
        <v>7.54339064E-2</v>
      </c>
      <c r="O56">
        <v>7.8279160299999997E-2</v>
      </c>
      <c r="P56">
        <v>8.0638209000000002E-2</v>
      </c>
      <c r="Q56">
        <v>8.2586459500000001E-2</v>
      </c>
      <c r="R56">
        <v>8.4187431899999998E-2</v>
      </c>
      <c r="S56">
        <v>8.5494413199999994E-2</v>
      </c>
      <c r="T56">
        <v>8.6552047800000004E-2</v>
      </c>
      <c r="U56">
        <v>8.7397755800000004E-2</v>
      </c>
      <c r="V56">
        <v>8.8062949700000004E-2</v>
      </c>
      <c r="W56">
        <v>8.8574057400000003E-2</v>
      </c>
      <c r="X56">
        <v>8.8953370899999995E-2</v>
      </c>
      <c r="Y56">
        <v>8.9219746799999999E-2</v>
      </c>
      <c r="Z56">
        <v>8.93891822E-2</v>
      </c>
      <c r="AA56">
        <v>8.9475288400000005E-2</v>
      </c>
      <c r="AB56">
        <v>8.9489680200000005E-2</v>
      </c>
      <c r="AC56">
        <v>8.9442297300000001E-2</v>
      </c>
      <c r="AD56">
        <v>8.9341668599999993E-2</v>
      </c>
      <c r="AE56">
        <v>8.9195132199999999E-2</v>
      </c>
      <c r="AF56">
        <v>8.9009017100000004E-2</v>
      </c>
      <c r="AG56">
        <v>8.8788795000000004E-2</v>
      </c>
      <c r="AH56">
        <v>8.8539207199999997E-2</v>
      </c>
      <c r="AI56">
        <v>8.82643704E-2</v>
      </c>
      <c r="AJ56">
        <v>8.7967866399999997E-2</v>
      </c>
      <c r="AK56">
        <v>8.76528169E-2</v>
      </c>
      <c r="AL56">
        <v>8.7321947299999994E-2</v>
      </c>
      <c r="AM56">
        <v>8.6977641100000003E-2</v>
      </c>
      <c r="AN56">
        <v>8.6621984999999999E-2</v>
      </c>
      <c r="AO56">
        <v>8.6256808899999995E-2</v>
      </c>
      <c r="AP56">
        <v>8.5883718900000003E-2</v>
      </c>
      <c r="AQ56">
        <v>8.5504126E-2</v>
      </c>
      <c r="AR56">
        <v>8.5119271299999993E-2</v>
      </c>
      <c r="AS56">
        <v>8.4730246699999998E-2</v>
      </c>
      <c r="AT56">
        <v>8.4338013700000006E-2</v>
      </c>
      <c r="AU56">
        <v>8.3943419300000002E-2</v>
      </c>
      <c r="AV56">
        <v>8.3547209400000003E-2</v>
      </c>
      <c r="AW56">
        <v>8.3150041300000005E-2</v>
      </c>
      <c r="AX56">
        <v>8.2752494100000004E-2</v>
      </c>
      <c r="AY56">
        <v>8.2355077600000007E-2</v>
      </c>
    </row>
    <row r="57" spans="1:51" x14ac:dyDescent="0.2">
      <c r="E57">
        <v>8.9291700000000002E-4</v>
      </c>
      <c r="F57">
        <v>2.9757202999999999E-3</v>
      </c>
      <c r="G57">
        <v>6.0988544E-3</v>
      </c>
      <c r="H57">
        <v>9.9476544000000004E-3</v>
      </c>
      <c r="I57">
        <v>1.4204985200000001E-2</v>
      </c>
      <c r="J57">
        <v>1.86145585E-2</v>
      </c>
      <c r="K57">
        <v>2.2992332300000001E-2</v>
      </c>
      <c r="L57">
        <v>2.7217105299999999E-2</v>
      </c>
      <c r="M57">
        <v>3.1215730899999999E-2</v>
      </c>
      <c r="N57">
        <v>3.4949244800000001E-2</v>
      </c>
      <c r="O57">
        <v>3.8401814100000001E-2</v>
      </c>
      <c r="P57">
        <v>4.15726072E-2</v>
      </c>
      <c r="Q57">
        <v>4.44700866E-2</v>
      </c>
      <c r="R57">
        <v>4.7108124100000003E-2</v>
      </c>
      <c r="S57">
        <v>4.9503422599999999E-2</v>
      </c>
      <c r="T57">
        <v>5.1673843900000002E-2</v>
      </c>
      <c r="U57">
        <v>5.3637351899999998E-2</v>
      </c>
      <c r="V57">
        <v>5.5411370100000003E-2</v>
      </c>
      <c r="W57">
        <v>5.7012411700000001E-2</v>
      </c>
      <c r="X57">
        <v>5.8455887800000002E-2</v>
      </c>
      <c r="Y57">
        <v>5.9756030500000001E-2</v>
      </c>
      <c r="Z57">
        <v>6.0925886999999998E-2</v>
      </c>
      <c r="AA57">
        <v>6.1977357900000002E-2</v>
      </c>
      <c r="AB57">
        <v>6.2921260000000007E-2</v>
      </c>
      <c r="AC57">
        <v>6.3767401599999995E-2</v>
      </c>
      <c r="AD57">
        <v>6.4524662799999993E-2</v>
      </c>
      <c r="AE57">
        <v>6.5201076600000005E-2</v>
      </c>
      <c r="AF57">
        <v>6.5803906400000001E-2</v>
      </c>
      <c r="AG57">
        <v>6.6339719300000002E-2</v>
      </c>
      <c r="AH57">
        <v>6.6814454100000004E-2</v>
      </c>
      <c r="AI57">
        <v>6.7233483699999999E-2</v>
      </c>
      <c r="AJ57">
        <v>6.7601671899999993E-2</v>
      </c>
      <c r="AK57">
        <v>6.7923424299999993E-2</v>
      </c>
      <c r="AL57">
        <v>6.8202735099999995E-2</v>
      </c>
      <c r="AM57">
        <v>6.84432284E-2</v>
      </c>
      <c r="AN57">
        <v>6.8648195100000003E-2</v>
      </c>
      <c r="AO57">
        <v>6.8820626999999995E-2</v>
      </c>
      <c r="AP57">
        <v>6.8963245800000003E-2</v>
      </c>
      <c r="AQ57">
        <v>6.9078530299999996E-2</v>
      </c>
      <c r="AR57">
        <v>6.9168740300000003E-2</v>
      </c>
      <c r="AS57">
        <v>6.9235937499999997E-2</v>
      </c>
      <c r="AT57">
        <v>6.9282005100000002E-2</v>
      </c>
      <c r="AU57">
        <v>6.93086646E-2</v>
      </c>
      <c r="AV57">
        <v>6.9317491300000006E-2</v>
      </c>
      <c r="AW57">
        <v>6.9309927800000004E-2</v>
      </c>
      <c r="AX57">
        <v>6.9287296499999998E-2</v>
      </c>
      <c r="AY57">
        <v>6.9250810699999998E-2</v>
      </c>
    </row>
    <row r="58" spans="1:51" x14ac:dyDescent="0.2">
      <c r="F58">
        <v>1.543526E-4</v>
      </c>
      <c r="G58">
        <v>6.1727139999999999E-4</v>
      </c>
      <c r="H58">
        <v>1.4699753E-3</v>
      </c>
      <c r="I58">
        <v>2.7193425000000002E-3</v>
      </c>
      <c r="J58">
        <v>4.3222679999999998E-3</v>
      </c>
      <c r="K58">
        <v>6.2109408999999997E-3</v>
      </c>
      <c r="L58">
        <v>8.3110197999999996E-3</v>
      </c>
      <c r="M58">
        <v>1.0552312899999999E-2</v>
      </c>
      <c r="N58">
        <v>1.2873900299999999E-2</v>
      </c>
      <c r="O58">
        <v>1.52257752E-2</v>
      </c>
      <c r="P58">
        <v>1.7568570700000001E-2</v>
      </c>
      <c r="Q58">
        <v>1.98723814E-2</v>
      </c>
      <c r="R58">
        <v>2.2115272599999999E-2</v>
      </c>
      <c r="S58">
        <v>2.42817876E-2</v>
      </c>
      <c r="T58">
        <v>2.6361601799999999E-2</v>
      </c>
      <c r="U58">
        <v>2.8348374799999999E-2</v>
      </c>
      <c r="V58">
        <v>3.0238806900000002E-2</v>
      </c>
      <c r="W58">
        <v>3.2031879899999997E-2</v>
      </c>
      <c r="X58">
        <v>3.37282582E-2</v>
      </c>
      <c r="Y58">
        <v>3.5329821300000001E-2</v>
      </c>
      <c r="Z58">
        <v>3.6839302599999998E-2</v>
      </c>
      <c r="AA58">
        <v>3.82600133E-2</v>
      </c>
      <c r="AB58">
        <v>3.9595632399999997E-2</v>
      </c>
      <c r="AC58">
        <v>4.0850049700000002E-2</v>
      </c>
      <c r="AD58">
        <v>4.2027247900000002E-2</v>
      </c>
      <c r="AE58">
        <v>4.31312165E-2</v>
      </c>
      <c r="AF58">
        <v>4.4165889799999997E-2</v>
      </c>
      <c r="AG58">
        <v>4.5135102000000003E-2</v>
      </c>
      <c r="AH58">
        <v>4.6042557400000003E-2</v>
      </c>
      <c r="AI58">
        <v>4.6891810700000001E-2</v>
      </c>
      <c r="AJ58">
        <v>4.7686254300000001E-2</v>
      </c>
      <c r="AK58">
        <v>4.8429112900000001E-2</v>
      </c>
      <c r="AL58">
        <v>4.9123441699999999E-2</v>
      </c>
      <c r="AM58">
        <v>4.9772127499999999E-2</v>
      </c>
      <c r="AN58">
        <v>5.0377892200000003E-2</v>
      </c>
      <c r="AO58">
        <v>5.0943298800000002E-2</v>
      </c>
      <c r="AP58">
        <v>5.1470756800000003E-2</v>
      </c>
      <c r="AQ58">
        <v>5.1962529600000001E-2</v>
      </c>
      <c r="AR58">
        <v>5.2420741600000001E-2</v>
      </c>
      <c r="AS58">
        <v>5.2847385900000002E-2</v>
      </c>
      <c r="AT58">
        <v>5.3244331200000002E-2</v>
      </c>
      <c r="AU58">
        <v>5.3613329699999997E-2</v>
      </c>
      <c r="AV58">
        <v>5.3956023499999999E-2</v>
      </c>
      <c r="AW58">
        <v>5.4273952100000002E-2</v>
      </c>
      <c r="AX58">
        <v>5.4568558400000002E-2</v>
      </c>
      <c r="AY58">
        <v>5.4841194900000001E-2</v>
      </c>
    </row>
    <row r="59" spans="1:51" x14ac:dyDescent="0.2">
      <c r="G59">
        <v>2.6681899999999999E-5</v>
      </c>
      <c r="H59">
        <v>1.2448750000000001E-4</v>
      </c>
      <c r="I59">
        <v>3.3781860000000003E-4</v>
      </c>
      <c r="J59">
        <v>6.991864E-4</v>
      </c>
      <c r="K59">
        <v>1.2252140000000001E-3</v>
      </c>
      <c r="L59">
        <v>1.9178260000000001E-3</v>
      </c>
      <c r="M59">
        <v>2.7677356000000001E-3</v>
      </c>
      <c r="N59">
        <v>3.7583389999999999E-3</v>
      </c>
      <c r="O59">
        <v>4.8690916000000001E-3</v>
      </c>
      <c r="P59">
        <v>6.0780614000000002E-3</v>
      </c>
      <c r="Q59">
        <v>7.3636735E-3</v>
      </c>
      <c r="R59">
        <v>8.7057899000000001E-3</v>
      </c>
      <c r="S59">
        <v>1.00862938E-2</v>
      </c>
      <c r="T59">
        <v>1.1489332200000001E-2</v>
      </c>
      <c r="U59">
        <v>1.2901336899999999E-2</v>
      </c>
      <c r="V59">
        <v>1.43109111E-2</v>
      </c>
      <c r="W59">
        <v>1.5708644399999999E-2</v>
      </c>
      <c r="X59">
        <v>1.70868949E-2</v>
      </c>
      <c r="Y59">
        <v>1.84395646E-2</v>
      </c>
      <c r="Z59">
        <v>1.9761883599999999E-2</v>
      </c>
      <c r="AA59">
        <v>2.1050210199999999E-2</v>
      </c>
      <c r="AB59">
        <v>2.23018525E-2</v>
      </c>
      <c r="AC59">
        <v>2.3514909899999999E-2</v>
      </c>
      <c r="AD59">
        <v>2.4688137200000002E-2</v>
      </c>
      <c r="AE59">
        <v>2.5820826500000001E-2</v>
      </c>
      <c r="AF59">
        <v>2.69127082E-2</v>
      </c>
      <c r="AG59">
        <v>2.7963866E-2</v>
      </c>
      <c r="AH59">
        <v>2.8974666400000001E-2</v>
      </c>
      <c r="AI59">
        <v>2.9945699100000001E-2</v>
      </c>
      <c r="AJ59">
        <v>3.0877728399999999E-2</v>
      </c>
      <c r="AK59">
        <v>3.1771651300000002E-2</v>
      </c>
      <c r="AL59">
        <v>3.2628464699999998E-2</v>
      </c>
      <c r="AM59">
        <v>3.3449237E-2</v>
      </c>
      <c r="AN59">
        <v>3.4235085499999998E-2</v>
      </c>
      <c r="AO59">
        <v>3.4987158099999999E-2</v>
      </c>
      <c r="AP59">
        <v>3.5706618099999997E-2</v>
      </c>
      <c r="AQ59">
        <v>3.6394632099999998E-2</v>
      </c>
      <c r="AR59">
        <v>3.7052360200000002E-2</v>
      </c>
      <c r="AS59">
        <v>3.76809486E-2</v>
      </c>
      <c r="AT59">
        <v>3.8281523499999998E-2</v>
      </c>
      <c r="AU59">
        <v>3.8855186600000001E-2</v>
      </c>
      <c r="AV59">
        <v>3.94030114E-2</v>
      </c>
      <c r="AW59">
        <v>3.9926040699999998E-2</v>
      </c>
      <c r="AX59">
        <v>4.0425284999999998E-2</v>
      </c>
      <c r="AY59">
        <v>4.0901721199999998E-2</v>
      </c>
    </row>
    <row r="60" spans="1:51" x14ac:dyDescent="0.2">
      <c r="H60">
        <v>4.6122999999999999E-6</v>
      </c>
      <c r="I60">
        <v>2.4593500000000001E-5</v>
      </c>
      <c r="J60">
        <v>7.4916499999999993E-5</v>
      </c>
      <c r="K60">
        <v>1.7156490000000001E-4</v>
      </c>
      <c r="L60">
        <v>3.287411E-4</v>
      </c>
      <c r="M60">
        <v>5.5715039999999999E-4</v>
      </c>
      <c r="N60">
        <v>8.6334940000000005E-4</v>
      </c>
      <c r="O60">
        <v>1.2498629999999999E-3</v>
      </c>
      <c r="P60">
        <v>1.7157470000000001E-3</v>
      </c>
      <c r="Q60">
        <v>2.2573366000000002E-3</v>
      </c>
      <c r="R60">
        <v>2.8690121999999998E-3</v>
      </c>
      <c r="S60">
        <v>3.5438885E-3</v>
      </c>
      <c r="T60">
        <v>4.2743866E-3</v>
      </c>
      <c r="U60">
        <v>5.0526796000000002E-3</v>
      </c>
      <c r="V60">
        <v>5.8710226999999999E-3</v>
      </c>
      <c r="W60">
        <v>6.7219838000000002E-3</v>
      </c>
      <c r="X60">
        <v>7.5985944999999999E-3</v>
      </c>
      <c r="Y60">
        <v>8.4944389999999995E-3</v>
      </c>
      <c r="Z60">
        <v>9.4036975000000005E-3</v>
      </c>
      <c r="AA60">
        <v>1.03211567E-2</v>
      </c>
      <c r="AB60">
        <v>1.12421967E-2</v>
      </c>
      <c r="AC60">
        <v>1.21627638E-2</v>
      </c>
      <c r="AD60">
        <v>1.3079333699999999E-2</v>
      </c>
      <c r="AE60">
        <v>1.39888697E-2</v>
      </c>
      <c r="AF60">
        <v>1.4888778700000001E-2</v>
      </c>
      <c r="AG60">
        <v>1.5776867999999999E-2</v>
      </c>
      <c r="AH60">
        <v>1.6651302900000001E-2</v>
      </c>
      <c r="AI60">
        <v>1.7510566700000001E-2</v>
      </c>
      <c r="AJ60">
        <v>1.8353424100000001E-2</v>
      </c>
      <c r="AK60">
        <v>1.9178886700000002E-2</v>
      </c>
      <c r="AL60">
        <v>1.9986182500000001E-2</v>
      </c>
      <c r="AM60">
        <v>2.0774727900000001E-2</v>
      </c>
      <c r="AN60">
        <v>2.1544102700000001E-2</v>
      </c>
      <c r="AO60">
        <v>2.2294027899999999E-2</v>
      </c>
      <c r="AP60">
        <v>2.3024346000000001E-2</v>
      </c>
      <c r="AQ60">
        <v>2.37350037E-2</v>
      </c>
      <c r="AR60">
        <v>2.4426036000000002E-2</v>
      </c>
      <c r="AS60">
        <v>2.5097553500000001E-2</v>
      </c>
      <c r="AT60">
        <v>2.5749729999999998E-2</v>
      </c>
      <c r="AU60">
        <v>2.6382791999999999E-2</v>
      </c>
      <c r="AV60">
        <v>2.6997010299999999E-2</v>
      </c>
      <c r="AW60">
        <v>2.7592691799999999E-2</v>
      </c>
      <c r="AX60">
        <v>2.8170172399999999E-2</v>
      </c>
      <c r="AY60">
        <v>2.87298117E-2</v>
      </c>
    </row>
    <row r="61" spans="1:51" x14ac:dyDescent="0.2">
      <c r="I61">
        <v>7.9729999999999997E-7</v>
      </c>
      <c r="J61">
        <v>4.7827E-6</v>
      </c>
      <c r="K61">
        <v>1.6160200000000002E-5</v>
      </c>
      <c r="L61">
        <v>4.0575899999999999E-5</v>
      </c>
      <c r="M61">
        <v>8.4419399999999993E-5</v>
      </c>
      <c r="N61">
        <v>1.540739E-4</v>
      </c>
      <c r="O61">
        <v>2.5529360000000001E-4</v>
      </c>
      <c r="P61">
        <v>3.9278369999999998E-4</v>
      </c>
      <c r="Q61">
        <v>5.6998409999999998E-4</v>
      </c>
      <c r="R61">
        <v>7.8902110000000003E-4</v>
      </c>
      <c r="S61">
        <v>1.0507773E-3</v>
      </c>
      <c r="T61">
        <v>1.3550356999999999E-3</v>
      </c>
      <c r="U61">
        <v>1.7006593000000001E-3</v>
      </c>
      <c r="V61">
        <v>2.0857803999999999E-3</v>
      </c>
      <c r="W61">
        <v>2.5079823999999999E-3</v>
      </c>
      <c r="X61">
        <v>2.9644630000000001E-3</v>
      </c>
      <c r="Y61">
        <v>3.4521751000000001E-3</v>
      </c>
      <c r="Z61">
        <v>3.9679436E-3</v>
      </c>
      <c r="AA61">
        <v>4.5085597000000003E-3</v>
      </c>
      <c r="AB61">
        <v>5.0708532999999998E-3</v>
      </c>
      <c r="AC61">
        <v>5.6517490999999998E-3</v>
      </c>
      <c r="AD61">
        <v>6.2483052999999997E-3</v>
      </c>
      <c r="AE61">
        <v>6.8577417999999999E-3</v>
      </c>
      <c r="AF61">
        <v>7.4774569999999999E-3</v>
      </c>
      <c r="AG61">
        <v>8.1050371000000003E-3</v>
      </c>
      <c r="AH61">
        <v>8.7382590999999996E-3</v>
      </c>
      <c r="AI61">
        <v>9.3750898999999995E-3</v>
      </c>
      <c r="AJ61">
        <v>1.0013680800000001E-2</v>
      </c>
      <c r="AK61">
        <v>1.0652360499999999E-2</v>
      </c>
      <c r="AL61">
        <v>1.12896265E-2</v>
      </c>
      <c r="AM61">
        <v>1.19241347E-2</v>
      </c>
      <c r="AN61">
        <v>1.2554689399999999E-2</v>
      </c>
      <c r="AO61">
        <v>1.3180232300000001E-2</v>
      </c>
      <c r="AP61">
        <v>1.3799832499999999E-2</v>
      </c>
      <c r="AQ61">
        <v>1.44126754E-2</v>
      </c>
      <c r="AR61">
        <v>1.5018053700000001E-2</v>
      </c>
      <c r="AS61">
        <v>1.56153573E-2</v>
      </c>
      <c r="AT61">
        <v>1.6204064800000001E-2</v>
      </c>
      <c r="AU61">
        <v>1.6783735099999999E-2</v>
      </c>
      <c r="AV61">
        <v>1.7353999500000002E-2</v>
      </c>
      <c r="AW61">
        <v>1.7914554999999999E-2</v>
      </c>
      <c r="AX61">
        <v>1.8465157100000001E-2</v>
      </c>
      <c r="AY61">
        <v>1.9005614300000001E-2</v>
      </c>
    </row>
    <row r="62" spans="1:51" x14ac:dyDescent="0.2">
      <c r="J62">
        <v>1.378E-7</v>
      </c>
      <c r="K62">
        <v>9.1859999999999998E-7</v>
      </c>
      <c r="L62">
        <v>3.4095999999999999E-6</v>
      </c>
      <c r="M62">
        <v>9.3147000000000008E-6</v>
      </c>
      <c r="N62">
        <v>2.0914899999999999E-5</v>
      </c>
      <c r="O62">
        <v>4.0908999999999997E-5</v>
      </c>
      <c r="P62">
        <v>7.2205200000000005E-5</v>
      </c>
      <c r="Q62">
        <v>1.177099E-4</v>
      </c>
      <c r="R62">
        <v>1.8014389999999999E-4</v>
      </c>
      <c r="S62">
        <v>2.6190300000000002E-4</v>
      </c>
      <c r="T62">
        <v>3.6496579999999997E-4</v>
      </c>
      <c r="U62">
        <v>4.9084669999999999E-4</v>
      </c>
      <c r="V62">
        <v>6.4058439999999995E-4</v>
      </c>
      <c r="W62">
        <v>8.1475929999999996E-4</v>
      </c>
      <c r="X62">
        <v>1.0135287000000001E-3</v>
      </c>
      <c r="Y62">
        <v>1.2366745000000001E-3</v>
      </c>
      <c r="Z62">
        <v>1.4836565E-3</v>
      </c>
      <c r="AA62">
        <v>1.7536669E-3</v>
      </c>
      <c r="AB62">
        <v>2.0456827999999999E-3</v>
      </c>
      <c r="AC62">
        <v>2.3585161000000002E-3</v>
      </c>
      <c r="AD62">
        <v>2.6908567E-3</v>
      </c>
      <c r="AE62">
        <v>3.0413124000000001E-3</v>
      </c>
      <c r="AF62">
        <v>3.4084415000000001E-3</v>
      </c>
      <c r="AG62">
        <v>3.7907815000000002E-3</v>
      </c>
      <c r="AH62">
        <v>4.1868716999999998E-3</v>
      </c>
      <c r="AI62">
        <v>4.5952726000000003E-3</v>
      </c>
      <c r="AJ62">
        <v>5.0145800999999999E-3</v>
      </c>
      <c r="AK62">
        <v>5.4434375000000004E-3</v>
      </c>
      <c r="AL62">
        <v>5.8805436000000004E-3</v>
      </c>
      <c r="AM62">
        <v>6.3246587999999998E-3</v>
      </c>
      <c r="AN62">
        <v>6.7746094999999997E-3</v>
      </c>
      <c r="AO62">
        <v>7.2292898000000001E-3</v>
      </c>
      <c r="AP62">
        <v>7.6876631000000004E-3</v>
      </c>
      <c r="AQ62">
        <v>8.1487613999999993E-3</v>
      </c>
      <c r="AR62">
        <v>8.6116847000000003E-3</v>
      </c>
      <c r="AS62">
        <v>9.0755991999999994E-3</v>
      </c>
      <c r="AT62">
        <v>9.5397352999999994E-3</v>
      </c>
      <c r="AU62">
        <v>1.00033846E-2</v>
      </c>
      <c r="AV62">
        <v>1.04658979E-2</v>
      </c>
      <c r="AW62">
        <v>1.09266816E-2</v>
      </c>
      <c r="AX62">
        <v>1.13851951E-2</v>
      </c>
      <c r="AY62">
        <v>1.1840947500000001E-2</v>
      </c>
    </row>
    <row r="63" spans="1:51" x14ac:dyDescent="0.2">
      <c r="L63">
        <v>1.747E-7</v>
      </c>
      <c r="M63">
        <v>7.0650000000000003E-7</v>
      </c>
      <c r="N63">
        <v>2.0862999999999998E-6</v>
      </c>
      <c r="O63">
        <v>5.0292000000000001E-6</v>
      </c>
      <c r="P63">
        <v>1.04972E-5</v>
      </c>
      <c r="Q63">
        <v>1.9667600000000001E-5</v>
      </c>
      <c r="R63">
        <v>3.38767E-5</v>
      </c>
      <c r="S63">
        <v>5.4552799999999997E-5</v>
      </c>
      <c r="T63">
        <v>8.31461E-5</v>
      </c>
      <c r="U63">
        <v>1.2106440000000001E-4</v>
      </c>
      <c r="V63">
        <v>1.6961919999999999E-4</v>
      </c>
      <c r="W63">
        <v>2.299832E-4</v>
      </c>
      <c r="X63">
        <v>3.03162E-4</v>
      </c>
      <c r="Y63">
        <v>3.8997620000000001E-4</v>
      </c>
      <c r="Z63">
        <v>4.9105489999999997E-4</v>
      </c>
      <c r="AA63">
        <v>6.0683700000000004E-4</v>
      </c>
      <c r="AB63">
        <v>7.3757879999999997E-4</v>
      </c>
      <c r="AC63">
        <v>8.8336719999999999E-4</v>
      </c>
      <c r="AD63">
        <v>1.0441344000000001E-3</v>
      </c>
      <c r="AE63">
        <v>1.2196752E-3</v>
      </c>
      <c r="AF63">
        <v>1.4096656E-3</v>
      </c>
      <c r="AG63">
        <v>1.6136796E-3</v>
      </c>
      <c r="AH63">
        <v>1.8312070000000001E-3</v>
      </c>
      <c r="AI63">
        <v>2.0616695000000001E-3</v>
      </c>
      <c r="AJ63">
        <v>2.3044350000000001E-3</v>
      </c>
      <c r="AK63">
        <v>2.5588314999999999E-3</v>
      </c>
      <c r="AL63">
        <v>2.8241587E-3</v>
      </c>
      <c r="AM63">
        <v>3.0996989E-3</v>
      </c>
      <c r="AN63">
        <v>3.3847254E-3</v>
      </c>
      <c r="AO63">
        <v>3.6785108000000001E-3</v>
      </c>
      <c r="AP63">
        <v>3.9803334000000001E-3</v>
      </c>
      <c r="AQ63">
        <v>4.2894826999999996E-3</v>
      </c>
      <c r="AR63">
        <v>4.6052636000000003E-3</v>
      </c>
      <c r="AS63">
        <v>4.9270004999999997E-3</v>
      </c>
      <c r="AT63">
        <v>5.2540395E-3</v>
      </c>
      <c r="AU63">
        <v>5.5857512999999996E-3</v>
      </c>
      <c r="AV63">
        <v>5.9215318999999997E-3</v>
      </c>
      <c r="AW63">
        <v>6.2608046000000002E-3</v>
      </c>
      <c r="AX63">
        <v>6.6030198000000002E-3</v>
      </c>
      <c r="AY63">
        <v>6.9476562E-3</v>
      </c>
    </row>
    <row r="64" spans="1:51" x14ac:dyDescent="0.2">
      <c r="N64">
        <v>1.4420000000000001E-7</v>
      </c>
      <c r="O64">
        <v>4.5779999999999998E-7</v>
      </c>
      <c r="P64">
        <v>1.1791000000000001E-6</v>
      </c>
      <c r="Q64">
        <v>2.6162999999999998E-6</v>
      </c>
      <c r="R64">
        <v>5.1870999999999999E-6</v>
      </c>
      <c r="S64">
        <v>9.4154999999999999E-6</v>
      </c>
      <c r="T64">
        <v>1.5919399999999999E-5</v>
      </c>
      <c r="U64">
        <v>2.5391199999999998E-5</v>
      </c>
      <c r="V64">
        <v>3.8573599999999999E-5</v>
      </c>
      <c r="W64">
        <v>5.6234499999999998E-5</v>
      </c>
      <c r="X64">
        <v>7.9141999999999995E-5</v>
      </c>
      <c r="Y64">
        <v>1.0804160000000001E-4</v>
      </c>
      <c r="Z64">
        <v>1.4363660000000001E-4</v>
      </c>
      <c r="AA64">
        <v>1.865724E-4</v>
      </c>
      <c r="AB64">
        <v>2.3742469999999999E-4</v>
      </c>
      <c r="AC64">
        <v>2.9669100000000002E-4</v>
      </c>
      <c r="AD64">
        <v>3.6478589999999999E-4</v>
      </c>
      <c r="AE64">
        <v>4.420397E-4</v>
      </c>
      <c r="AF64">
        <v>5.2869829999999997E-4</v>
      </c>
      <c r="AG64">
        <v>6.2492660000000003E-4</v>
      </c>
      <c r="AH64">
        <v>7.3081190000000003E-4</v>
      </c>
      <c r="AI64">
        <v>8.4636979999999998E-4</v>
      </c>
      <c r="AJ64">
        <v>9.7154939999999996E-4</v>
      </c>
      <c r="AK64">
        <v>1.1062404E-3</v>
      </c>
      <c r="AL64">
        <v>1.2502791E-3</v>
      </c>
      <c r="AM64">
        <v>1.4034553E-3</v>
      </c>
      <c r="AN64">
        <v>1.5655182E-3</v>
      </c>
      <c r="AO64">
        <v>1.7361830999999999E-3</v>
      </c>
      <c r="AP64">
        <v>1.9151368000000001E-3</v>
      </c>
      <c r="AQ64">
        <v>2.1020427E-3</v>
      </c>
      <c r="AR64">
        <v>2.2965461E-3</v>
      </c>
      <c r="AS64">
        <v>2.4982786999999998E-3</v>
      </c>
      <c r="AT64">
        <v>2.706862E-3</v>
      </c>
      <c r="AU64">
        <v>2.9219118E-3</v>
      </c>
      <c r="AV64">
        <v>3.1430403999999999E-3</v>
      </c>
      <c r="AW64">
        <v>3.3698602000000002E-3</v>
      </c>
      <c r="AX64">
        <v>3.6019856E-3</v>
      </c>
      <c r="AY64">
        <v>3.8390351999999998E-3</v>
      </c>
    </row>
    <row r="65" spans="17:51" x14ac:dyDescent="0.2">
      <c r="Q65">
        <v>2.7049999999999999E-7</v>
      </c>
      <c r="R65">
        <v>6.3590000000000002E-7</v>
      </c>
      <c r="S65">
        <v>1.3303E-6</v>
      </c>
      <c r="T65">
        <v>2.5386000000000001E-6</v>
      </c>
      <c r="U65">
        <v>4.4973000000000001E-6</v>
      </c>
      <c r="V65">
        <v>7.4938000000000001E-6</v>
      </c>
      <c r="W65">
        <v>1.1861E-5</v>
      </c>
      <c r="X65">
        <v>1.7971100000000001E-5</v>
      </c>
      <c r="Y65">
        <v>2.62264E-5</v>
      </c>
      <c r="Z65">
        <v>3.7049399999999998E-5</v>
      </c>
      <c r="AA65">
        <v>5.0873099999999999E-5</v>
      </c>
      <c r="AB65">
        <v>6.8130600000000001E-5</v>
      </c>
      <c r="AC65">
        <v>8.9245899999999999E-5</v>
      </c>
      <c r="AD65">
        <v>1.146263E-4</v>
      </c>
      <c r="AE65">
        <v>1.446547E-4</v>
      </c>
      <c r="AF65">
        <v>1.796844E-4</v>
      </c>
      <c r="AG65">
        <v>2.200347E-4</v>
      </c>
      <c r="AH65">
        <v>2.6598769999999999E-4</v>
      </c>
      <c r="AI65">
        <v>3.177864E-4</v>
      </c>
      <c r="AJ65">
        <v>3.756338E-4</v>
      </c>
      <c r="AK65">
        <v>4.396925E-4</v>
      </c>
      <c r="AL65">
        <v>5.1008580000000002E-4</v>
      </c>
      <c r="AM65">
        <v>5.8689889999999996E-4</v>
      </c>
      <c r="AN65">
        <v>6.7018039999999996E-4</v>
      </c>
      <c r="AO65">
        <v>7.5994430000000002E-4</v>
      </c>
      <c r="AP65">
        <v>8.56173E-4</v>
      </c>
      <c r="AQ65">
        <v>9.5881899999999997E-4</v>
      </c>
      <c r="AR65">
        <v>1.067808E-3</v>
      </c>
      <c r="AS65">
        <v>1.1830412E-3</v>
      </c>
      <c r="AT65">
        <v>1.3043985E-3</v>
      </c>
      <c r="AU65">
        <v>1.4317401E-3</v>
      </c>
      <c r="AV65">
        <v>1.5649098E-3</v>
      </c>
      <c r="AW65">
        <v>1.7037368E-3</v>
      </c>
      <c r="AX65">
        <v>1.8480383999999999E-3</v>
      </c>
      <c r="AY65">
        <v>1.9976213999999999E-3</v>
      </c>
    </row>
    <row r="66" spans="17:51" x14ac:dyDescent="0.2">
      <c r="S66">
        <v>1.512E-7</v>
      </c>
      <c r="T66">
        <v>3.3290000000000002E-7</v>
      </c>
      <c r="U66">
        <v>6.6639999999999999E-7</v>
      </c>
      <c r="V66">
        <v>1.2347E-6</v>
      </c>
      <c r="W66">
        <v>2.1457999999999999E-6</v>
      </c>
      <c r="X66">
        <v>3.5335999999999999E-6</v>
      </c>
      <c r="Y66">
        <v>5.5578000000000004E-6</v>
      </c>
      <c r="Z66">
        <v>8.4022999999999992E-6</v>
      </c>
      <c r="AA66">
        <v>1.22728E-5</v>
      </c>
      <c r="AB66">
        <v>1.7393599999999999E-5</v>
      </c>
      <c r="AC66">
        <v>2.4003300000000001E-5</v>
      </c>
      <c r="AD66">
        <v>3.2351100000000003E-5</v>
      </c>
      <c r="AE66">
        <v>4.2691999999999997E-5</v>
      </c>
      <c r="AF66">
        <v>5.5282799999999999E-5</v>
      </c>
      <c r="AG66">
        <v>7.0377599999999995E-5</v>
      </c>
      <c r="AH66">
        <v>8.8224600000000002E-5</v>
      </c>
      <c r="AI66">
        <v>1.0906199999999999E-4</v>
      </c>
      <c r="AJ66">
        <v>1.331158E-4</v>
      </c>
      <c r="AK66">
        <v>1.6059709999999999E-4</v>
      </c>
      <c r="AL66">
        <v>1.917E-4</v>
      </c>
      <c r="AM66">
        <v>2.266003E-4</v>
      </c>
      <c r="AN66">
        <v>2.6545460000000002E-4</v>
      </c>
      <c r="AO66">
        <v>3.0839929999999999E-4</v>
      </c>
      <c r="AP66">
        <v>3.5555070000000002E-4</v>
      </c>
      <c r="AQ66">
        <v>4.0700460000000002E-4</v>
      </c>
      <c r="AR66">
        <v>4.6283709999999999E-4</v>
      </c>
      <c r="AS66">
        <v>5.2310460000000003E-4</v>
      </c>
      <c r="AT66">
        <v>5.878449E-4</v>
      </c>
      <c r="AU66">
        <v>6.5707769999999997E-4</v>
      </c>
      <c r="AV66">
        <v>7.3080599999999997E-4</v>
      </c>
      <c r="AW66">
        <v>8.0901659999999995E-4</v>
      </c>
      <c r="AX66">
        <v>8.9168159999999995E-4</v>
      </c>
      <c r="AY66">
        <v>9.7875929999999994E-4</v>
      </c>
    </row>
    <row r="67" spans="17:51" x14ac:dyDescent="0.2">
      <c r="V67">
        <v>1.7079999999999999E-7</v>
      </c>
      <c r="W67">
        <v>3.3039999999999999E-7</v>
      </c>
      <c r="X67">
        <v>5.9810000000000004E-7</v>
      </c>
      <c r="Y67">
        <v>1.0233E-6</v>
      </c>
      <c r="Z67">
        <v>1.6689E-6</v>
      </c>
      <c r="AA67">
        <v>2.6112000000000001E-6</v>
      </c>
      <c r="AB67">
        <v>3.9403000000000002E-6</v>
      </c>
      <c r="AC67">
        <v>5.7598000000000003E-6</v>
      </c>
      <c r="AD67">
        <v>8.1858000000000005E-6</v>
      </c>
      <c r="AE67">
        <v>1.1345899999999999E-5</v>
      </c>
      <c r="AF67">
        <v>1.53774E-5</v>
      </c>
      <c r="AG67">
        <v>2.04257E-5</v>
      </c>
      <c r="AH67">
        <v>2.6642600000000001E-5</v>
      </c>
      <c r="AI67">
        <v>3.4183700000000003E-5</v>
      </c>
      <c r="AJ67">
        <v>4.3206900000000001E-5</v>
      </c>
      <c r="AK67">
        <v>5.3870199999999998E-5</v>
      </c>
      <c r="AL67">
        <v>6.6330199999999997E-5</v>
      </c>
      <c r="AM67">
        <v>8.0739699999999995E-5</v>
      </c>
      <c r="AN67">
        <v>9.7246999999999999E-5</v>
      </c>
      <c r="AO67">
        <v>1.159936E-4</v>
      </c>
      <c r="AP67">
        <v>1.3711410000000001E-4</v>
      </c>
      <c r="AQ67">
        <v>1.607341E-4</v>
      </c>
      <c r="AR67">
        <v>1.8697019999999999E-4</v>
      </c>
      <c r="AS67">
        <v>2.1592909999999999E-4</v>
      </c>
      <c r="AT67">
        <v>2.4770709999999999E-4</v>
      </c>
      <c r="AU67">
        <v>2.8238980000000002E-4</v>
      </c>
      <c r="AV67">
        <v>3.2005210000000001E-4</v>
      </c>
      <c r="AW67">
        <v>3.6075799999999998E-4</v>
      </c>
      <c r="AX67">
        <v>4.04561E-4</v>
      </c>
      <c r="AY67">
        <v>4.515036E-4</v>
      </c>
    </row>
    <row r="68" spans="17:51" x14ac:dyDescent="0.2">
      <c r="Y68">
        <v>1.6269999999999999E-7</v>
      </c>
      <c r="Z68">
        <v>2.889E-7</v>
      </c>
      <c r="AA68">
        <v>4.8800000000000003E-7</v>
      </c>
      <c r="AB68">
        <v>7.8950000000000002E-7</v>
      </c>
      <c r="AC68">
        <v>1.2297000000000001E-6</v>
      </c>
      <c r="AD68">
        <v>1.8527000000000001E-6</v>
      </c>
      <c r="AE68">
        <v>2.7099000000000001E-6</v>
      </c>
      <c r="AF68">
        <v>3.8607000000000002E-6</v>
      </c>
      <c r="AG68">
        <v>5.3716000000000004E-6</v>
      </c>
      <c r="AH68">
        <v>7.3163999999999999E-6</v>
      </c>
      <c r="AI68">
        <v>9.7750000000000004E-6</v>
      </c>
      <c r="AJ68">
        <v>1.28334E-5</v>
      </c>
      <c r="AK68">
        <v>1.6582199999999999E-5</v>
      </c>
      <c r="AL68">
        <v>2.1116099999999999E-5</v>
      </c>
      <c r="AM68">
        <v>2.6532900000000001E-5</v>
      </c>
      <c r="AN68">
        <v>3.2932200000000003E-5</v>
      </c>
      <c r="AO68">
        <v>4.0415099999999999E-5</v>
      </c>
      <c r="AP68">
        <v>4.9082400000000003E-5</v>
      </c>
      <c r="AQ68">
        <v>5.9034499999999999E-5</v>
      </c>
      <c r="AR68">
        <v>7.0369899999999999E-5</v>
      </c>
      <c r="AS68">
        <v>8.3184799999999997E-5</v>
      </c>
      <c r="AT68">
        <v>9.7572399999999994E-5</v>
      </c>
      <c r="AU68">
        <v>1.136219E-4</v>
      </c>
      <c r="AV68">
        <v>1.3141849999999999E-4</v>
      </c>
      <c r="AW68">
        <v>1.510424E-4</v>
      </c>
      <c r="AX68">
        <v>1.725687E-4</v>
      </c>
      <c r="AY68">
        <v>1.9606720000000001E-4</v>
      </c>
    </row>
    <row r="69" spans="17:51" x14ac:dyDescent="0.2">
      <c r="AB69">
        <v>1.3930000000000001E-7</v>
      </c>
      <c r="AC69">
        <v>2.3279999999999999E-7</v>
      </c>
      <c r="AD69">
        <v>3.7399999999999999E-7</v>
      </c>
      <c r="AE69">
        <v>5.8029999999999998E-7</v>
      </c>
      <c r="AF69">
        <v>8.7309999999999995E-7</v>
      </c>
      <c r="AG69">
        <v>1.2778000000000001E-6</v>
      </c>
      <c r="AH69">
        <v>1.8243000000000001E-6</v>
      </c>
      <c r="AI69">
        <v>2.5469000000000001E-6</v>
      </c>
      <c r="AJ69">
        <v>3.4842E-6</v>
      </c>
      <c r="AK69">
        <v>4.6793999999999996E-6</v>
      </c>
      <c r="AL69">
        <v>6.1796000000000001E-6</v>
      </c>
      <c r="AM69">
        <v>8.0357E-6</v>
      </c>
      <c r="AN69">
        <v>1.03024E-5</v>
      </c>
      <c r="AO69">
        <v>1.30373E-5</v>
      </c>
      <c r="AP69">
        <v>1.6300899999999998E-5</v>
      </c>
      <c r="AQ69">
        <v>2.0155600000000001E-5</v>
      </c>
      <c r="AR69">
        <v>2.46658E-5</v>
      </c>
      <c r="AS69">
        <v>2.9897199999999999E-5</v>
      </c>
      <c r="AT69">
        <v>3.5916E-5</v>
      </c>
      <c r="AU69">
        <v>4.27889E-5</v>
      </c>
      <c r="AV69">
        <v>5.0582199999999998E-5</v>
      </c>
      <c r="AW69">
        <v>5.9361499999999997E-5</v>
      </c>
      <c r="AX69">
        <v>6.9191599999999997E-5</v>
      </c>
      <c r="AY69">
        <v>8.0135600000000006E-5</v>
      </c>
    </row>
    <row r="70" spans="17:51" x14ac:dyDescent="0.2">
      <c r="AE70">
        <v>1.111E-7</v>
      </c>
      <c r="AF70">
        <v>1.7739999999999999E-7</v>
      </c>
      <c r="AG70">
        <v>2.7430000000000001E-7</v>
      </c>
      <c r="AH70">
        <v>4.122E-7</v>
      </c>
      <c r="AI70">
        <v>6.0360000000000003E-7</v>
      </c>
      <c r="AJ70">
        <v>8.6349999999999997E-7</v>
      </c>
      <c r="AK70">
        <v>1.2091E-6</v>
      </c>
      <c r="AL70">
        <v>1.6607E-6</v>
      </c>
      <c r="AM70">
        <v>2.2407999999999998E-6</v>
      </c>
      <c r="AN70">
        <v>2.9749000000000001E-6</v>
      </c>
      <c r="AO70">
        <v>3.8909999999999997E-6</v>
      </c>
      <c r="AP70">
        <v>5.0195E-6</v>
      </c>
      <c r="AQ70">
        <v>6.3933999999999996E-6</v>
      </c>
      <c r="AR70">
        <v>8.0478999999999996E-6</v>
      </c>
      <c r="AS70">
        <v>1.0020199999999999E-5</v>
      </c>
      <c r="AT70">
        <v>1.2349499999999999E-5</v>
      </c>
      <c r="AU70">
        <v>1.50765E-5</v>
      </c>
      <c r="AV70">
        <v>1.8243399999999999E-5</v>
      </c>
      <c r="AW70">
        <v>2.1893299999999999E-5</v>
      </c>
      <c r="AX70">
        <v>2.60703E-5</v>
      </c>
      <c r="AY70">
        <v>3.0819199999999998E-5</v>
      </c>
    </row>
    <row r="71" spans="17:51" x14ac:dyDescent="0.2">
      <c r="AI71">
        <v>1.2989999999999999E-7</v>
      </c>
      <c r="AJ71">
        <v>1.9500000000000001E-7</v>
      </c>
      <c r="AK71">
        <v>2.8570000000000002E-7</v>
      </c>
      <c r="AL71">
        <v>4.0929999999999999E-7</v>
      </c>
      <c r="AM71">
        <v>5.7469999999999998E-7</v>
      </c>
      <c r="AN71">
        <v>7.9220000000000001E-7</v>
      </c>
      <c r="AO71">
        <v>1.0735E-6</v>
      </c>
      <c r="AP71">
        <v>1.432E-6</v>
      </c>
      <c r="AQ71">
        <v>1.8829E-6</v>
      </c>
      <c r="AR71">
        <v>2.4428000000000001E-6</v>
      </c>
      <c r="AS71">
        <v>3.1300999999999999E-6</v>
      </c>
      <c r="AT71">
        <v>3.9646000000000001E-6</v>
      </c>
      <c r="AU71">
        <v>4.9679999999999997E-6</v>
      </c>
      <c r="AV71">
        <v>6.1632999999999999E-6</v>
      </c>
      <c r="AW71">
        <v>7.5746000000000003E-6</v>
      </c>
      <c r="AX71">
        <v>9.2279000000000002E-6</v>
      </c>
      <c r="AY71">
        <v>1.11498E-5</v>
      </c>
    </row>
    <row r="72" spans="17:51" x14ac:dyDescent="0.2">
      <c r="AM72">
        <v>1.3540000000000001E-7</v>
      </c>
      <c r="AN72">
        <v>1.9430000000000001E-7</v>
      </c>
      <c r="AO72">
        <v>2.7350000000000001E-7</v>
      </c>
      <c r="AP72">
        <v>3.7809999999999998E-7</v>
      </c>
      <c r="AQ72">
        <v>5.144E-7</v>
      </c>
      <c r="AR72">
        <v>6.8930000000000001E-7</v>
      </c>
      <c r="AS72">
        <v>9.1070000000000002E-7</v>
      </c>
      <c r="AT72">
        <v>1.1877000000000001E-6</v>
      </c>
      <c r="AU72">
        <v>1.5302E-6</v>
      </c>
      <c r="AV72">
        <v>1.9493999999999999E-6</v>
      </c>
      <c r="AW72">
        <v>2.4574E-6</v>
      </c>
      <c r="AX72">
        <v>3.0672999999999998E-6</v>
      </c>
      <c r="AY72">
        <v>3.7933000000000002E-6</v>
      </c>
    </row>
    <row r="73" spans="17:51" x14ac:dyDescent="0.2">
      <c r="AQ73">
        <v>1.303E-7</v>
      </c>
      <c r="AR73">
        <v>1.8059999999999999E-7</v>
      </c>
      <c r="AS73">
        <v>2.466E-7</v>
      </c>
      <c r="AT73">
        <v>3.3179999999999999E-7</v>
      </c>
      <c r="AU73">
        <v>4.4029999999999999E-7</v>
      </c>
      <c r="AV73">
        <v>5.7700000000000004E-7</v>
      </c>
      <c r="AW73">
        <v>7.4720000000000002E-7</v>
      </c>
      <c r="AX73">
        <v>9.569999999999999E-7</v>
      </c>
      <c r="AY73">
        <v>1.2131000000000001E-6</v>
      </c>
    </row>
    <row r="74" spans="17:51" x14ac:dyDescent="0.2">
      <c r="AU74">
        <v>1.1829999999999999E-7</v>
      </c>
      <c r="AV74">
        <v>1.5970000000000001E-7</v>
      </c>
      <c r="AW74">
        <v>2.128E-7</v>
      </c>
      <c r="AX74">
        <v>2.8009999999999997E-7</v>
      </c>
      <c r="AY74">
        <v>3.6450000000000001E-7</v>
      </c>
    </row>
    <row r="75" spans="17:51" x14ac:dyDescent="0.2">
      <c r="AY75">
        <v>1.0279999999999999E-7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1ED9-5DEA-054A-B57A-6438F82DDA89}">
  <sheetPr codeName="Feuil6">
    <tabColor rgb="FFFFFF00"/>
  </sheetPr>
  <dimension ref="A1:Q3"/>
  <sheetViews>
    <sheetView zoomScale="75" zoomScaleNormal="118" workbookViewId="0">
      <selection activeCell="M48" sqref="M47:M48"/>
    </sheetView>
  </sheetViews>
  <sheetFormatPr baseColWidth="10" defaultRowHeight="15" x14ac:dyDescent="0.2"/>
  <cols>
    <col min="1" max="1" width="5.1640625" bestFit="1" customWidth="1"/>
    <col min="2" max="2" width="12.33203125" bestFit="1" customWidth="1"/>
  </cols>
  <sheetData>
    <row r="1" spans="1:17" ht="24" x14ac:dyDescent="0.3">
      <c r="A1" s="88" t="s">
        <v>62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3" spans="1:17" x14ac:dyDescent="0.2">
      <c r="A3" s="43"/>
      <c r="B3" s="43"/>
    </row>
  </sheetData>
  <mergeCells count="1">
    <mergeCell ref="A1:Q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13C2-AB76-5A46-A038-E76CF8BE847B}">
  <sheetPr codeName="Feuil4">
    <tabColor theme="5"/>
  </sheetPr>
  <dimension ref="A1:BB1005"/>
  <sheetViews>
    <sheetView topLeftCell="C1" zoomScale="61" zoomScaleNormal="114" workbookViewId="0">
      <selection activeCell="P61" sqref="P61"/>
    </sheetView>
  </sheetViews>
  <sheetFormatPr baseColWidth="10" defaultRowHeight="15" x14ac:dyDescent="0.2"/>
  <cols>
    <col min="14" max="14" width="3" bestFit="1" customWidth="1"/>
    <col min="15" max="15" width="9.33203125" bestFit="1" customWidth="1"/>
    <col min="16" max="16" width="7.6640625" bestFit="1" customWidth="1"/>
    <col min="17" max="17" width="18.83203125" bestFit="1" customWidth="1"/>
    <col min="19" max="19" width="5.1640625" bestFit="1" customWidth="1"/>
    <col min="20" max="20" width="18" bestFit="1" customWidth="1"/>
    <col min="22" max="22" width="3.5" bestFit="1" customWidth="1"/>
    <col min="23" max="24" width="13.33203125" bestFit="1" customWidth="1"/>
    <col min="25" max="25" width="18" bestFit="1" customWidth="1"/>
    <col min="27" max="27" width="3.5" bestFit="1" customWidth="1"/>
    <col min="28" max="28" width="17.33203125" bestFit="1" customWidth="1"/>
  </cols>
  <sheetData>
    <row r="1" spans="1:54" s="41" customFormat="1" ht="24" x14ac:dyDescent="0.3">
      <c r="A1" s="88" t="s">
        <v>61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</row>
    <row r="4" spans="1:54" ht="24" x14ac:dyDescent="0.3">
      <c r="B4" s="88" t="s">
        <v>24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V4" s="88" t="s">
        <v>46</v>
      </c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</row>
    <row r="5" spans="1:54" x14ac:dyDescent="0.2">
      <c r="N5" s="43"/>
      <c r="O5" s="43"/>
      <c r="P5" s="43"/>
      <c r="Q5" s="43"/>
      <c r="S5" s="42"/>
      <c r="T5" s="42"/>
      <c r="V5" s="43" t="s">
        <v>16</v>
      </c>
      <c r="W5" s="43" t="s">
        <v>18</v>
      </c>
      <c r="X5" s="43" t="s">
        <v>47</v>
      </c>
      <c r="Y5" s="43" t="s">
        <v>48</v>
      </c>
      <c r="AA5" s="42" t="s">
        <v>16</v>
      </c>
      <c r="AB5" s="42" t="s">
        <v>48</v>
      </c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</row>
    <row r="6" spans="1:54" x14ac:dyDescent="0.2">
      <c r="S6" s="42"/>
      <c r="T6" s="42"/>
      <c r="V6">
        <v>1</v>
      </c>
      <c r="W6">
        <v>16.234452969350464</v>
      </c>
      <c r="X6">
        <v>16.795797420674354</v>
      </c>
      <c r="Y6">
        <v>-0.56134445132389033</v>
      </c>
      <c r="AA6" s="42">
        <v>1</v>
      </c>
      <c r="AB6" s="42">
        <v>-0.56134445132389033</v>
      </c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</row>
    <row r="7" spans="1:54" x14ac:dyDescent="0.2">
      <c r="S7" s="42"/>
      <c r="T7" s="42"/>
      <c r="V7">
        <v>2</v>
      </c>
      <c r="W7">
        <v>16.88644588169727</v>
      </c>
      <c r="X7">
        <v>16.795797420674354</v>
      </c>
      <c r="Y7">
        <v>0.18129692204583137</v>
      </c>
      <c r="AA7" s="42">
        <v>2</v>
      </c>
      <c r="AB7" s="42">
        <v>0.18129692204583137</v>
      </c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</row>
    <row r="8" spans="1:54" x14ac:dyDescent="0.2">
      <c r="S8" s="42"/>
      <c r="T8" s="42"/>
      <c r="V8">
        <v>3</v>
      </c>
      <c r="W8">
        <v>17.033820129937297</v>
      </c>
      <c r="X8">
        <v>16.795797420674354</v>
      </c>
      <c r="Y8">
        <v>0.71406812778882767</v>
      </c>
      <c r="AA8" s="42">
        <v>3</v>
      </c>
      <c r="AB8" s="42">
        <v>0.71406812778882767</v>
      </c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</row>
    <row r="9" spans="1:54" x14ac:dyDescent="0.2">
      <c r="S9" s="42"/>
      <c r="T9" s="42"/>
      <c r="V9">
        <v>4</v>
      </c>
      <c r="W9">
        <v>17.055599337602967</v>
      </c>
      <c r="X9">
        <v>16.795797420674354</v>
      </c>
      <c r="Y9">
        <v>1.0392076677144502</v>
      </c>
      <c r="AA9" s="42">
        <v>4</v>
      </c>
      <c r="AB9" s="42">
        <v>1.0392076677144502</v>
      </c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</row>
    <row r="10" spans="1:54" x14ac:dyDescent="0.2">
      <c r="S10" s="42"/>
      <c r="T10" s="42"/>
      <c r="V10">
        <v>5</v>
      </c>
      <c r="W10">
        <v>17.041022512000737</v>
      </c>
      <c r="X10">
        <v>16.795797420674354</v>
      </c>
      <c r="Y10">
        <v>1.2261254566319124</v>
      </c>
      <c r="AA10" s="42">
        <v>5</v>
      </c>
      <c r="AB10" s="42">
        <v>1.2261254566319124</v>
      </c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</row>
    <row r="11" spans="1:54" x14ac:dyDescent="0.2">
      <c r="K11" s="40"/>
      <c r="S11" s="42"/>
      <c r="T11" s="42"/>
      <c r="V11">
        <v>6</v>
      </c>
      <c r="W11">
        <v>17.015885077459444</v>
      </c>
      <c r="X11">
        <v>16.795797420674354</v>
      </c>
      <c r="Y11">
        <v>1.3205259407105387</v>
      </c>
      <c r="AA11" s="42">
        <v>6</v>
      </c>
      <c r="AB11" s="42">
        <v>1.3205259407105387</v>
      </c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</row>
    <row r="12" spans="1:54" x14ac:dyDescent="0.2">
      <c r="S12" s="42"/>
      <c r="T12" s="42"/>
      <c r="V12">
        <v>7</v>
      </c>
      <c r="W12">
        <v>16.988510222671703</v>
      </c>
      <c r="X12">
        <v>16.795797420674354</v>
      </c>
      <c r="Y12">
        <v>1.3489896139814412</v>
      </c>
      <c r="AA12" s="42">
        <v>7</v>
      </c>
      <c r="AB12" s="42">
        <v>1.3489896139814412</v>
      </c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</row>
    <row r="13" spans="1:54" x14ac:dyDescent="0.2">
      <c r="S13" s="42"/>
      <c r="T13" s="42"/>
      <c r="V13">
        <v>8</v>
      </c>
      <c r="W13">
        <v>16.961732332592103</v>
      </c>
      <c r="X13">
        <v>16.795797420674354</v>
      </c>
      <c r="Y13">
        <v>1.3274792953419876</v>
      </c>
      <c r="AA13" s="42">
        <v>8</v>
      </c>
      <c r="AB13" s="42">
        <v>1.3274792953419876</v>
      </c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</row>
    <row r="14" spans="1:54" x14ac:dyDescent="0.2">
      <c r="S14" s="42"/>
      <c r="T14" s="42"/>
      <c r="V14">
        <v>9</v>
      </c>
      <c r="W14">
        <v>16.936475306153948</v>
      </c>
      <c r="X14">
        <v>16.795797420674354</v>
      </c>
      <c r="Y14">
        <v>1.2661009693163443</v>
      </c>
      <c r="AA14" s="42">
        <v>9</v>
      </c>
      <c r="AB14" s="42">
        <v>1.2661009693163443</v>
      </c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</row>
    <row r="15" spans="1:54" x14ac:dyDescent="0.2">
      <c r="S15" s="42"/>
      <c r="T15" s="42"/>
      <c r="V15">
        <v>10</v>
      </c>
      <c r="W15">
        <v>16.913018949152505</v>
      </c>
      <c r="X15">
        <v>16.795797420674354</v>
      </c>
      <c r="Y15">
        <v>1.1722152847815082</v>
      </c>
      <c r="AA15" s="42">
        <v>10</v>
      </c>
      <c r="AB15" s="42">
        <v>1.1722152847815082</v>
      </c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</row>
    <row r="16" spans="1:54" x14ac:dyDescent="0.2">
      <c r="S16" s="42"/>
      <c r="T16" s="42"/>
      <c r="V16">
        <v>11</v>
      </c>
      <c r="W16">
        <v>16.891307212021708</v>
      </c>
      <c r="X16">
        <v>16.795797420674354</v>
      </c>
      <c r="Y16">
        <v>1.0506077048208908</v>
      </c>
      <c r="AA16" s="42">
        <v>11</v>
      </c>
      <c r="AB16" s="42">
        <v>1.0506077048208908</v>
      </c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</row>
    <row r="17" spans="19:54" x14ac:dyDescent="0.2">
      <c r="S17" s="42"/>
      <c r="T17" s="42"/>
      <c r="V17">
        <v>12</v>
      </c>
      <c r="W17">
        <v>16.871258635102368</v>
      </c>
      <c r="X17">
        <v>16.795797420674354</v>
      </c>
      <c r="Y17">
        <v>0.90553457313616548</v>
      </c>
      <c r="AA17" s="42">
        <v>12</v>
      </c>
      <c r="AB17" s="42">
        <v>0.90553457313616548</v>
      </c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</row>
    <row r="18" spans="19:54" x14ac:dyDescent="0.2">
      <c r="S18" s="42"/>
      <c r="T18" s="42"/>
      <c r="V18">
        <v>13</v>
      </c>
      <c r="W18">
        <v>16.852696598765437</v>
      </c>
      <c r="X18">
        <v>16.795797420674354</v>
      </c>
      <c r="Y18">
        <v>0.73968931518407643</v>
      </c>
      <c r="AA18" s="42">
        <v>13</v>
      </c>
      <c r="AB18" s="42">
        <v>0.73968931518407643</v>
      </c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</row>
    <row r="19" spans="19:54" x14ac:dyDescent="0.2">
      <c r="S19" s="42"/>
      <c r="T19" s="42"/>
      <c r="V19">
        <v>14</v>
      </c>
      <c r="W19">
        <v>16.835497644433339</v>
      </c>
      <c r="X19">
        <v>16.795797420674354</v>
      </c>
      <c r="Y19">
        <v>0.55580313262578329</v>
      </c>
      <c r="AA19" s="42">
        <v>14</v>
      </c>
      <c r="AB19" s="42">
        <v>0.55580313262578329</v>
      </c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</row>
    <row r="20" spans="19:54" x14ac:dyDescent="0.2">
      <c r="S20" s="42"/>
      <c r="T20" s="42"/>
      <c r="V20">
        <v>15</v>
      </c>
      <c r="W20">
        <v>16.819504336096564</v>
      </c>
      <c r="X20">
        <v>16.795797420674354</v>
      </c>
      <c r="Y20">
        <v>0.35560373133314727</v>
      </c>
      <c r="AA20" s="42">
        <v>15</v>
      </c>
      <c r="AB20" s="42">
        <v>0.35560373133314727</v>
      </c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</row>
    <row r="21" spans="19:54" x14ac:dyDescent="0.2">
      <c r="S21" s="42"/>
      <c r="T21" s="42"/>
      <c r="V21">
        <v>16</v>
      </c>
      <c r="W21">
        <v>16.804585071584828</v>
      </c>
      <c r="X21">
        <v>16.795797420674354</v>
      </c>
      <c r="Y21">
        <v>0.14060241456758149</v>
      </c>
      <c r="AA21" s="42">
        <v>16</v>
      </c>
      <c r="AB21" s="42">
        <v>0.14060241456758149</v>
      </c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</row>
    <row r="22" spans="19:54" x14ac:dyDescent="0.2">
      <c r="S22" s="42"/>
      <c r="T22" s="42"/>
      <c r="V22">
        <v>17</v>
      </c>
      <c r="W22">
        <v>16.790664672517313</v>
      </c>
      <c r="X22">
        <v>16.795797420674354</v>
      </c>
      <c r="Y22">
        <v>-8.7256718669710409E-2</v>
      </c>
      <c r="AA22" s="42">
        <v>17</v>
      </c>
      <c r="AB22" s="42">
        <v>-8.7256718669710409E-2</v>
      </c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</row>
    <row r="23" spans="19:54" x14ac:dyDescent="0.2">
      <c r="S23" s="42"/>
      <c r="T23" s="42"/>
      <c r="V23">
        <v>18</v>
      </c>
      <c r="W23">
        <v>16.777615367267884</v>
      </c>
      <c r="X23">
        <v>16.795797420674354</v>
      </c>
      <c r="Y23">
        <v>-0.327276961316457</v>
      </c>
      <c r="AA23" s="42">
        <v>18</v>
      </c>
      <c r="AB23" s="42">
        <v>-0.327276961316457</v>
      </c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</row>
    <row r="24" spans="19:54" x14ac:dyDescent="0.2">
      <c r="S24" s="42"/>
      <c r="T24" s="42"/>
      <c r="V24">
        <v>19</v>
      </c>
      <c r="W24">
        <v>16.765346660032751</v>
      </c>
      <c r="X24">
        <v>16.795797420674354</v>
      </c>
      <c r="Y24">
        <v>-0.57856445219045938</v>
      </c>
      <c r="AA24" s="42">
        <v>19</v>
      </c>
      <c r="AB24" s="42">
        <v>-0.57856445219045938</v>
      </c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</row>
    <row r="25" spans="19:54" x14ac:dyDescent="0.2">
      <c r="S25" s="42"/>
      <c r="T25" s="42"/>
      <c r="V25">
        <v>20</v>
      </c>
      <c r="W25">
        <v>16.753818676077287</v>
      </c>
      <c r="X25">
        <v>16.795797420674354</v>
      </c>
      <c r="Y25">
        <v>-0.83957489194133927</v>
      </c>
      <c r="AA25" s="42">
        <v>20</v>
      </c>
      <c r="AB25" s="42">
        <v>-0.83957489194133927</v>
      </c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</row>
    <row r="26" spans="19:54" x14ac:dyDescent="0.2">
      <c r="S26" s="42"/>
      <c r="T26" s="42"/>
      <c r="V26">
        <v>21</v>
      </c>
      <c r="W26">
        <v>16.742935152691768</v>
      </c>
      <c r="X26">
        <v>16.795797420674354</v>
      </c>
      <c r="Y26">
        <v>-1.1101076276343171</v>
      </c>
      <c r="AA26" s="42">
        <v>21</v>
      </c>
      <c r="AB26" s="42">
        <v>-1.1101076276343171</v>
      </c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</row>
    <row r="27" spans="19:54" x14ac:dyDescent="0.2">
      <c r="S27" s="42"/>
      <c r="T27" s="42"/>
      <c r="V27">
        <v>22</v>
      </c>
      <c r="W27">
        <v>16.732647051605536</v>
      </c>
      <c r="X27">
        <v>16.795797420674354</v>
      </c>
      <c r="Y27">
        <v>-1.3893081195140056</v>
      </c>
      <c r="AA27" s="42">
        <v>22</v>
      </c>
      <c r="AB27" s="42">
        <v>-1.3893081195140056</v>
      </c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</row>
    <row r="28" spans="19:54" x14ac:dyDescent="0.2">
      <c r="S28" s="42"/>
      <c r="T28" s="42"/>
      <c r="V28">
        <v>23</v>
      </c>
      <c r="W28">
        <v>16.722907354259739</v>
      </c>
      <c r="X28">
        <v>16.795797420674354</v>
      </c>
      <c r="Y28">
        <v>-1.676471527536151</v>
      </c>
      <c r="AA28" s="42">
        <v>23</v>
      </c>
      <c r="AB28" s="42">
        <v>-1.676471527536151</v>
      </c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</row>
    <row r="29" spans="19:54" x14ac:dyDescent="0.2">
      <c r="S29" s="42"/>
      <c r="T29" s="42"/>
      <c r="V29">
        <v>24</v>
      </c>
      <c r="W29">
        <v>16.713657863451814</v>
      </c>
      <c r="X29">
        <v>16.795797420674354</v>
      </c>
      <c r="Y29">
        <v>-1.9713493733409564</v>
      </c>
      <c r="AA29" s="42">
        <v>24</v>
      </c>
      <c r="AB29" s="42">
        <v>-1.9713493733409564</v>
      </c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</row>
    <row r="30" spans="19:54" x14ac:dyDescent="0.2">
      <c r="S30" s="42"/>
      <c r="T30" s="42"/>
      <c r="V30">
        <v>25</v>
      </c>
      <c r="W30">
        <v>16.704856344931684</v>
      </c>
      <c r="X30">
        <v>16.795797420674354</v>
      </c>
      <c r="Y30">
        <v>-2.2735268935667463</v>
      </c>
      <c r="AA30" s="42">
        <v>25</v>
      </c>
      <c r="AB30" s="42">
        <v>-2.2735268935667463</v>
      </c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</row>
    <row r="31" spans="19:54" x14ac:dyDescent="0.2">
      <c r="S31" s="42"/>
      <c r="T31" s="42"/>
      <c r="V31">
        <v>26</v>
      </c>
      <c r="W31">
        <v>16.696489027586686</v>
      </c>
      <c r="X31">
        <v>16.795797420674354</v>
      </c>
      <c r="Y31">
        <v>-2.582018220279366</v>
      </c>
      <c r="AA31" s="42">
        <v>26</v>
      </c>
      <c r="AB31" s="42">
        <v>-2.582018220279366</v>
      </c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</row>
    <row r="32" spans="19:54" x14ac:dyDescent="0.2">
      <c r="S32" s="42"/>
      <c r="T32" s="42"/>
      <c r="V32">
        <v>27</v>
      </c>
      <c r="W32">
        <v>16.703799354223062</v>
      </c>
      <c r="X32">
        <v>16.795797420674354</v>
      </c>
      <c r="Y32">
        <v>-2.4839477941849033</v>
      </c>
      <c r="AA32" s="42">
        <v>27</v>
      </c>
      <c r="AB32" s="42">
        <v>-2.4839477941849033</v>
      </c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</row>
    <row r="33" spans="19:54" x14ac:dyDescent="0.2">
      <c r="S33" s="42"/>
      <c r="T33" s="42"/>
      <c r="V33">
        <v>28</v>
      </c>
      <c r="W33">
        <v>16.716882241575536</v>
      </c>
      <c r="X33">
        <v>16.795797420674354</v>
      </c>
      <c r="Y33">
        <v>-2.2096250147668997</v>
      </c>
      <c r="AA33" s="42">
        <v>28</v>
      </c>
      <c r="AB33" s="42">
        <v>-2.2096250147668997</v>
      </c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</row>
    <row r="34" spans="19:54" x14ac:dyDescent="0.2">
      <c r="S34" s="42"/>
      <c r="T34" s="42"/>
      <c r="V34">
        <v>29</v>
      </c>
      <c r="W34">
        <v>16.72858152717064</v>
      </c>
      <c r="X34">
        <v>16.795797420674354</v>
      </c>
      <c r="Y34">
        <v>-1.9492609116077233</v>
      </c>
      <c r="AA34" s="42">
        <v>29</v>
      </c>
      <c r="AB34" s="42">
        <v>-1.9492609116077233</v>
      </c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</row>
    <row r="35" spans="19:54" x14ac:dyDescent="0.2">
      <c r="S35" s="42"/>
      <c r="T35" s="42"/>
      <c r="V35">
        <v>30</v>
      </c>
      <c r="W35">
        <v>16.739059714925702</v>
      </c>
      <c r="X35">
        <v>16.795797420674354</v>
      </c>
      <c r="Y35">
        <v>-1.7021311724595733</v>
      </c>
      <c r="AA35" s="42">
        <v>30</v>
      </c>
      <c r="AB35" s="42">
        <v>-1.7021311724595733</v>
      </c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</row>
    <row r="36" spans="19:54" x14ac:dyDescent="0.2">
      <c r="S36" s="42"/>
      <c r="T36" s="42"/>
      <c r="V36">
        <v>31</v>
      </c>
      <c r="W36">
        <v>16.748440652390425</v>
      </c>
      <c r="X36">
        <v>16.795797420674354</v>
      </c>
      <c r="Y36">
        <v>-1.4680598168018157</v>
      </c>
      <c r="AA36" s="42">
        <v>31</v>
      </c>
      <c r="AB36" s="42">
        <v>-1.4680598168018157</v>
      </c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</row>
    <row r="37" spans="19:54" x14ac:dyDescent="0.2">
      <c r="S37" s="42"/>
      <c r="T37" s="42"/>
      <c r="V37">
        <v>32</v>
      </c>
      <c r="W37">
        <v>16.756851230933233</v>
      </c>
      <c r="X37">
        <v>16.795797420674354</v>
      </c>
      <c r="Y37">
        <v>-1.2462780717158921</v>
      </c>
      <c r="AA37" s="42">
        <v>32</v>
      </c>
      <c r="AB37" s="42">
        <v>-1.2462780717158921</v>
      </c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</row>
    <row r="38" spans="19:54" x14ac:dyDescent="0.2">
      <c r="S38" s="42"/>
      <c r="T38" s="42"/>
      <c r="V38">
        <v>33</v>
      </c>
      <c r="W38">
        <v>16.764401898225646</v>
      </c>
      <c r="X38">
        <v>16.795797420674354</v>
      </c>
      <c r="Y38">
        <v>-1.0360522408073685</v>
      </c>
      <c r="AA38" s="42">
        <v>33</v>
      </c>
      <c r="AB38" s="42">
        <v>-1.0360522408073685</v>
      </c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</row>
    <row r="39" spans="19:54" x14ac:dyDescent="0.2">
      <c r="S39" s="42"/>
      <c r="T39" s="42"/>
      <c r="V39">
        <v>34</v>
      </c>
      <c r="W39">
        <v>16.771158064665801</v>
      </c>
      <c r="X39">
        <v>16.795797420674354</v>
      </c>
      <c r="Y39">
        <v>-0.83773810429079987</v>
      </c>
      <c r="AA39" s="42">
        <v>34</v>
      </c>
      <c r="AB39" s="42">
        <v>-0.83773810429079987</v>
      </c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</row>
    <row r="40" spans="19:54" x14ac:dyDescent="0.2">
      <c r="S40" s="42"/>
      <c r="T40" s="42"/>
      <c r="V40">
        <v>35</v>
      </c>
      <c r="W40">
        <v>16.77720889442789</v>
      </c>
      <c r="X40">
        <v>16.795797420674354</v>
      </c>
      <c r="Y40">
        <v>-0.65059841862625589</v>
      </c>
      <c r="AA40" s="42">
        <v>35</v>
      </c>
      <c r="AB40" s="42">
        <v>-0.65059841862625589</v>
      </c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</row>
    <row r="41" spans="19:54" x14ac:dyDescent="0.2">
      <c r="S41" s="42"/>
      <c r="T41" s="42"/>
      <c r="V41">
        <v>36</v>
      </c>
      <c r="W41">
        <v>16.782623396209985</v>
      </c>
      <c r="X41">
        <v>16.795797420674354</v>
      </c>
      <c r="Y41">
        <v>-0.47426488071729977</v>
      </c>
      <c r="AA41" s="42">
        <v>36</v>
      </c>
      <c r="AB41" s="42">
        <v>-0.47426488071729977</v>
      </c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</row>
    <row r="42" spans="19:54" x14ac:dyDescent="0.2">
      <c r="S42" s="42"/>
      <c r="T42" s="42"/>
      <c r="V42">
        <v>37</v>
      </c>
      <c r="W42">
        <v>16.787462162526225</v>
      </c>
      <c r="X42">
        <v>16.795797420674354</v>
      </c>
      <c r="Y42">
        <v>-0.30840455148078405</v>
      </c>
      <c r="AA42" s="42">
        <v>37</v>
      </c>
      <c r="AB42" s="42">
        <v>-0.30840455148078405</v>
      </c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</row>
    <row r="43" spans="19:54" x14ac:dyDescent="0.2">
      <c r="S43" s="42"/>
      <c r="T43" s="42"/>
      <c r="V43">
        <v>38</v>
      </c>
      <c r="W43">
        <v>16.791800777092337</v>
      </c>
      <c r="X43">
        <v>16.795797420674354</v>
      </c>
      <c r="Y43">
        <v>-0.15187245611664224</v>
      </c>
      <c r="AA43" s="42">
        <v>38</v>
      </c>
      <c r="AB43" s="42">
        <v>-0.15187245611664224</v>
      </c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</row>
    <row r="44" spans="19:54" x14ac:dyDescent="0.2">
      <c r="S44" s="42"/>
      <c r="T44" s="42"/>
      <c r="V44">
        <v>39</v>
      </c>
      <c r="W44">
        <v>16.795667664150418</v>
      </c>
      <c r="X44">
        <v>16.795797420674354</v>
      </c>
      <c r="Y44">
        <v>-5.0605044335121363E-3</v>
      </c>
      <c r="AA44" s="42">
        <v>39</v>
      </c>
      <c r="AB44" s="42">
        <v>-5.0605044335121363E-3</v>
      </c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</row>
    <row r="45" spans="19:54" x14ac:dyDescent="0.2">
      <c r="S45" s="42"/>
      <c r="T45" s="42"/>
      <c r="V45">
        <v>40</v>
      </c>
      <c r="W45">
        <v>16.799115403276748</v>
      </c>
      <c r="X45">
        <v>16.795797420674354</v>
      </c>
      <c r="Y45">
        <v>0.13271930409572974</v>
      </c>
      <c r="AA45" s="42">
        <v>40</v>
      </c>
      <c r="AB45" s="42">
        <v>0.13271930409572974</v>
      </c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</row>
    <row r="46" spans="19:54" x14ac:dyDescent="0.2">
      <c r="S46" s="42"/>
      <c r="T46" s="42"/>
      <c r="V46">
        <v>41</v>
      </c>
      <c r="W46">
        <v>16.802162167796329</v>
      </c>
      <c r="X46">
        <v>16.795797420674354</v>
      </c>
      <c r="Y46">
        <v>0.26095463200095637</v>
      </c>
      <c r="AA46" s="42">
        <v>41</v>
      </c>
      <c r="AB46" s="42">
        <v>0.26095463200095637</v>
      </c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</row>
    <row r="47" spans="19:54" x14ac:dyDescent="0.2">
      <c r="S47" s="42"/>
      <c r="T47" s="42"/>
      <c r="V47">
        <v>42</v>
      </c>
      <c r="W47">
        <v>16.804870584143188</v>
      </c>
      <c r="X47">
        <v>16.795797420674354</v>
      </c>
      <c r="Y47">
        <v>0.38107286569102428</v>
      </c>
      <c r="AA47" s="42">
        <v>42</v>
      </c>
      <c r="AB47" s="42">
        <v>0.38107286569102428</v>
      </c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</row>
    <row r="48" spans="19:54" x14ac:dyDescent="0.2">
      <c r="S48" s="42"/>
      <c r="T48" s="42"/>
      <c r="V48">
        <v>43</v>
      </c>
      <c r="W48">
        <v>16.807255074952735</v>
      </c>
      <c r="X48">
        <v>16.795797420674354</v>
      </c>
      <c r="Y48">
        <v>0.49267913397037688</v>
      </c>
      <c r="AA48" s="42">
        <v>43</v>
      </c>
      <c r="AB48" s="42">
        <v>0.49267913397037688</v>
      </c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</row>
    <row r="49" spans="19:54" x14ac:dyDescent="0.2">
      <c r="S49" s="42"/>
      <c r="T49" s="42"/>
      <c r="V49">
        <v>44</v>
      </c>
      <c r="W49">
        <v>16.809343531811539</v>
      </c>
      <c r="X49">
        <v>16.795797420674354</v>
      </c>
      <c r="Y49">
        <v>0.59602889003612347</v>
      </c>
      <c r="AA49" s="42">
        <v>44</v>
      </c>
      <c r="AB49" s="42">
        <v>0.59602889003612347</v>
      </c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</row>
    <row r="50" spans="19:54" x14ac:dyDescent="0.2">
      <c r="S50" s="42"/>
      <c r="T50" s="42"/>
      <c r="V50">
        <v>45</v>
      </c>
      <c r="W50">
        <v>16.811160772500482</v>
      </c>
      <c r="X50">
        <v>16.795797420674354</v>
      </c>
      <c r="Y50">
        <v>0.6913508321757611</v>
      </c>
      <c r="AA50" s="42">
        <v>45</v>
      </c>
      <c r="AB50" s="42">
        <v>0.6913508321757611</v>
      </c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</row>
    <row r="51" spans="19:54" x14ac:dyDescent="0.2">
      <c r="S51" s="42"/>
      <c r="T51" s="42"/>
      <c r="V51">
        <v>46</v>
      </c>
      <c r="W51">
        <v>16.812728967432946</v>
      </c>
      <c r="X51">
        <v>16.795797420674354</v>
      </c>
      <c r="Y51">
        <v>0.77885115089522117</v>
      </c>
      <c r="AA51" s="42">
        <v>46</v>
      </c>
      <c r="AB51" s="42">
        <v>0.77885115089522117</v>
      </c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</row>
    <row r="52" spans="19:54" x14ac:dyDescent="0.2">
      <c r="S52" s="42"/>
      <c r="T52" s="42"/>
      <c r="V52">
        <v>47</v>
      </c>
      <c r="W52">
        <v>16.814086036671984</v>
      </c>
      <c r="X52">
        <v>16.795797420674354</v>
      </c>
      <c r="Y52">
        <v>0.85956495188860416</v>
      </c>
      <c r="AA52" s="42">
        <v>47</v>
      </c>
      <c r="AB52" s="42">
        <v>0.85956495188860416</v>
      </c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</row>
    <row r="53" spans="19:54" x14ac:dyDescent="0.2">
      <c r="S53" s="42"/>
      <c r="T53" s="42"/>
      <c r="V53">
        <v>48</v>
      </c>
      <c r="W53">
        <v>16.815233651100776</v>
      </c>
      <c r="X53">
        <v>16.795797420674354</v>
      </c>
      <c r="Y53">
        <v>0.93293906046824304</v>
      </c>
      <c r="AA53" s="42">
        <v>48</v>
      </c>
      <c r="AB53" s="42">
        <v>0.93293906046824304</v>
      </c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</row>
    <row r="54" spans="19:54" x14ac:dyDescent="0.2">
      <c r="S54" s="42"/>
      <c r="T54" s="42"/>
      <c r="V54">
        <v>49</v>
      </c>
      <c r="W54">
        <v>16.816196968286192</v>
      </c>
      <c r="X54">
        <v>16.795797420674354</v>
      </c>
      <c r="Y54">
        <v>0.99957783298005864</v>
      </c>
      <c r="AA54" s="42">
        <v>49</v>
      </c>
      <c r="AB54" s="42">
        <v>0.99957783298005864</v>
      </c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</row>
    <row r="55" spans="19:54" x14ac:dyDescent="0.2">
      <c r="S55" s="42"/>
      <c r="T55" s="42"/>
      <c r="V55">
        <v>50</v>
      </c>
      <c r="W55">
        <v>16.816973958856725</v>
      </c>
      <c r="X55">
        <v>16.795797420674354</v>
      </c>
      <c r="Y55">
        <v>1.0588269091185154</v>
      </c>
      <c r="AA55" s="42">
        <v>50</v>
      </c>
      <c r="AB55" s="42">
        <v>1.0588269091185154</v>
      </c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</row>
    <row r="56" spans="19:54" x14ac:dyDescent="0.2">
      <c r="S56" s="42"/>
      <c r="T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</row>
    <row r="57" spans="19:54" x14ac:dyDescent="0.2">
      <c r="S57" s="42"/>
      <c r="T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</row>
    <row r="58" spans="19:54" x14ac:dyDescent="0.2">
      <c r="S58" s="42"/>
      <c r="T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</row>
    <row r="59" spans="19:54" x14ac:dyDescent="0.2">
      <c r="S59" s="42"/>
      <c r="T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</row>
    <row r="60" spans="19:54" x14ac:dyDescent="0.2">
      <c r="S60" s="42"/>
      <c r="T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</row>
    <row r="61" spans="19:54" x14ac:dyDescent="0.2">
      <c r="S61" s="42"/>
      <c r="T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</row>
    <row r="62" spans="19:54" x14ac:dyDescent="0.2">
      <c r="S62" s="42"/>
      <c r="T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</row>
    <row r="63" spans="19:54" x14ac:dyDescent="0.2">
      <c r="S63" s="42"/>
      <c r="T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</row>
    <row r="64" spans="19:54" x14ac:dyDescent="0.2">
      <c r="S64" s="42"/>
      <c r="T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</row>
    <row r="65" spans="19:54" x14ac:dyDescent="0.2">
      <c r="S65" s="42"/>
      <c r="T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</row>
    <row r="66" spans="19:54" x14ac:dyDescent="0.2">
      <c r="S66" s="42"/>
      <c r="T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</row>
    <row r="67" spans="19:54" x14ac:dyDescent="0.2">
      <c r="S67" s="42"/>
      <c r="T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</row>
    <row r="68" spans="19:54" x14ac:dyDescent="0.2">
      <c r="S68" s="42"/>
      <c r="T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</row>
    <row r="69" spans="19:54" x14ac:dyDescent="0.2">
      <c r="S69" s="42"/>
      <c r="T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</row>
    <row r="70" spans="19:54" x14ac:dyDescent="0.2">
      <c r="S70" s="42"/>
      <c r="T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</row>
    <row r="71" spans="19:54" x14ac:dyDescent="0.2">
      <c r="S71" s="42"/>
      <c r="T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</row>
    <row r="72" spans="19:54" x14ac:dyDescent="0.2">
      <c r="S72" s="42"/>
      <c r="T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</row>
    <row r="73" spans="19:54" x14ac:dyDescent="0.2">
      <c r="S73" s="42"/>
      <c r="T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</row>
    <row r="74" spans="19:54" x14ac:dyDescent="0.2">
      <c r="S74" s="42"/>
      <c r="T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</row>
    <row r="75" spans="19:54" x14ac:dyDescent="0.2">
      <c r="S75" s="42"/>
      <c r="T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</row>
    <row r="76" spans="19:54" x14ac:dyDescent="0.2">
      <c r="S76" s="42"/>
      <c r="T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</row>
    <row r="77" spans="19:54" x14ac:dyDescent="0.2">
      <c r="S77" s="42"/>
      <c r="T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</row>
    <row r="78" spans="19:54" x14ac:dyDescent="0.2">
      <c r="S78" s="42"/>
      <c r="T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</row>
    <row r="79" spans="19:54" x14ac:dyDescent="0.2">
      <c r="S79" s="42"/>
      <c r="T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</row>
    <row r="80" spans="19:54" x14ac:dyDescent="0.2">
      <c r="S80" s="42"/>
      <c r="T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</row>
    <row r="81" spans="19:54" x14ac:dyDescent="0.2">
      <c r="S81" s="42"/>
      <c r="T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</row>
    <row r="82" spans="19:54" x14ac:dyDescent="0.2">
      <c r="S82" s="42"/>
      <c r="T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</row>
    <row r="83" spans="19:54" x14ac:dyDescent="0.2">
      <c r="S83" s="42"/>
      <c r="T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</row>
    <row r="84" spans="19:54" x14ac:dyDescent="0.2">
      <c r="S84" s="42"/>
      <c r="T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</row>
    <row r="85" spans="19:54" x14ac:dyDescent="0.2">
      <c r="S85" s="42"/>
      <c r="T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</row>
    <row r="86" spans="19:54" x14ac:dyDescent="0.2">
      <c r="S86" s="42"/>
      <c r="T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</row>
    <row r="87" spans="19:54" x14ac:dyDescent="0.2">
      <c r="S87" s="42"/>
      <c r="T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</row>
    <row r="88" spans="19:54" x14ac:dyDescent="0.2">
      <c r="S88" s="42"/>
      <c r="T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</row>
    <row r="89" spans="19:54" x14ac:dyDescent="0.2">
      <c r="S89" s="42"/>
      <c r="T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</row>
    <row r="90" spans="19:54" x14ac:dyDescent="0.2">
      <c r="S90" s="42"/>
      <c r="T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</row>
    <row r="91" spans="19:54" x14ac:dyDescent="0.2">
      <c r="S91" s="42"/>
      <c r="T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</row>
    <row r="92" spans="19:54" x14ac:dyDescent="0.2">
      <c r="S92" s="42"/>
      <c r="T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</row>
    <row r="93" spans="19:54" x14ac:dyDescent="0.2">
      <c r="S93" s="42"/>
      <c r="T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</row>
    <row r="94" spans="19:54" x14ac:dyDescent="0.2">
      <c r="S94" s="42"/>
      <c r="T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</row>
    <row r="95" spans="19:54" x14ac:dyDescent="0.2">
      <c r="S95" s="42"/>
      <c r="T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</row>
    <row r="96" spans="19:54" x14ac:dyDescent="0.2">
      <c r="S96" s="42"/>
      <c r="T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</row>
    <row r="97" spans="19:54" x14ac:dyDescent="0.2">
      <c r="S97" s="42"/>
      <c r="T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</row>
    <row r="98" spans="19:54" x14ac:dyDescent="0.2">
      <c r="S98" s="42"/>
      <c r="T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</row>
    <row r="99" spans="19:54" x14ac:dyDescent="0.2">
      <c r="S99" s="42"/>
      <c r="T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</row>
    <row r="100" spans="19:54" x14ac:dyDescent="0.2">
      <c r="S100" s="42"/>
      <c r="T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</row>
    <row r="101" spans="19:54" x14ac:dyDescent="0.2">
      <c r="S101" s="42"/>
      <c r="T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</row>
    <row r="102" spans="19:54" x14ac:dyDescent="0.2">
      <c r="S102" s="42"/>
      <c r="T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</row>
    <row r="103" spans="19:54" x14ac:dyDescent="0.2">
      <c r="S103" s="42"/>
      <c r="T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</row>
    <row r="104" spans="19:54" x14ac:dyDescent="0.2">
      <c r="S104" s="42"/>
      <c r="T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</row>
    <row r="105" spans="19:54" x14ac:dyDescent="0.2">
      <c r="S105" s="42"/>
      <c r="T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</row>
    <row r="106" spans="19:54" x14ac:dyDescent="0.2">
      <c r="S106" s="42"/>
      <c r="T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</row>
    <row r="107" spans="19:54" x14ac:dyDescent="0.2">
      <c r="S107" s="42"/>
      <c r="T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</row>
    <row r="108" spans="19:54" x14ac:dyDescent="0.2">
      <c r="S108" s="42"/>
      <c r="T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</row>
    <row r="109" spans="19:54" x14ac:dyDescent="0.2">
      <c r="S109" s="42"/>
      <c r="T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</row>
    <row r="110" spans="19:54" x14ac:dyDescent="0.2">
      <c r="S110" s="42"/>
      <c r="T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</row>
    <row r="111" spans="19:54" x14ac:dyDescent="0.2">
      <c r="S111" s="42"/>
      <c r="T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</row>
    <row r="112" spans="19:54" x14ac:dyDescent="0.2">
      <c r="S112" s="42"/>
      <c r="T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</row>
    <row r="113" spans="19:54" x14ac:dyDescent="0.2">
      <c r="S113" s="42"/>
      <c r="T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</row>
    <row r="114" spans="19:54" x14ac:dyDescent="0.2">
      <c r="S114" s="42"/>
      <c r="T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</row>
    <row r="115" spans="19:54" x14ac:dyDescent="0.2">
      <c r="S115" s="42"/>
      <c r="T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</row>
    <row r="116" spans="19:54" x14ac:dyDescent="0.2">
      <c r="S116" s="42"/>
      <c r="T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</row>
    <row r="117" spans="19:54" x14ac:dyDescent="0.2">
      <c r="S117" s="42"/>
      <c r="T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</row>
    <row r="118" spans="19:54" x14ac:dyDescent="0.2">
      <c r="S118" s="42"/>
      <c r="T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</row>
    <row r="119" spans="19:54" x14ac:dyDescent="0.2">
      <c r="S119" s="42"/>
      <c r="T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</row>
    <row r="120" spans="19:54" x14ac:dyDescent="0.2">
      <c r="S120" s="42"/>
      <c r="T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</row>
    <row r="121" spans="19:54" x14ac:dyDescent="0.2">
      <c r="S121" s="42"/>
      <c r="T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</row>
    <row r="122" spans="19:54" x14ac:dyDescent="0.2">
      <c r="S122" s="42"/>
      <c r="T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</row>
    <row r="123" spans="19:54" x14ac:dyDescent="0.2">
      <c r="S123" s="42"/>
      <c r="T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</row>
    <row r="124" spans="19:54" x14ac:dyDescent="0.2">
      <c r="S124" s="42"/>
      <c r="T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</row>
    <row r="125" spans="19:54" x14ac:dyDescent="0.2">
      <c r="S125" s="42"/>
      <c r="T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</row>
    <row r="126" spans="19:54" x14ac:dyDescent="0.2">
      <c r="S126" s="42"/>
      <c r="T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</row>
    <row r="127" spans="19:54" x14ac:dyDescent="0.2">
      <c r="S127" s="42"/>
      <c r="T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</row>
    <row r="128" spans="19:54" x14ac:dyDescent="0.2">
      <c r="S128" s="42"/>
      <c r="T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</row>
    <row r="129" spans="19:54" x14ac:dyDescent="0.2">
      <c r="S129" s="42"/>
      <c r="T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</row>
    <row r="130" spans="19:54" x14ac:dyDescent="0.2">
      <c r="S130" s="42"/>
      <c r="T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</row>
    <row r="131" spans="19:54" x14ac:dyDescent="0.2">
      <c r="S131" s="42"/>
      <c r="T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</row>
    <row r="132" spans="19:54" x14ac:dyDescent="0.2">
      <c r="S132" s="42"/>
      <c r="T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</row>
    <row r="133" spans="19:54" x14ac:dyDescent="0.2">
      <c r="S133" s="42"/>
      <c r="T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</row>
    <row r="134" spans="19:54" x14ac:dyDescent="0.2">
      <c r="S134" s="42"/>
      <c r="T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</row>
    <row r="135" spans="19:54" x14ac:dyDescent="0.2">
      <c r="S135" s="42"/>
      <c r="T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</row>
    <row r="136" spans="19:54" x14ac:dyDescent="0.2">
      <c r="S136" s="42"/>
      <c r="T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</row>
    <row r="137" spans="19:54" x14ac:dyDescent="0.2">
      <c r="S137" s="42"/>
      <c r="T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</row>
    <row r="138" spans="19:54" x14ac:dyDescent="0.2">
      <c r="S138" s="42"/>
      <c r="T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</row>
    <row r="139" spans="19:54" x14ac:dyDescent="0.2">
      <c r="S139" s="42"/>
      <c r="T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</row>
    <row r="140" spans="19:54" x14ac:dyDescent="0.2">
      <c r="S140" s="42"/>
      <c r="T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</row>
    <row r="141" spans="19:54" x14ac:dyDescent="0.2">
      <c r="S141" s="42"/>
      <c r="T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</row>
    <row r="142" spans="19:54" x14ac:dyDescent="0.2">
      <c r="S142" s="42"/>
      <c r="T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</row>
    <row r="143" spans="19:54" x14ac:dyDescent="0.2">
      <c r="S143" s="42"/>
      <c r="T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</row>
    <row r="144" spans="19:54" x14ac:dyDescent="0.2">
      <c r="S144" s="42"/>
      <c r="T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</row>
    <row r="145" spans="19:54" x14ac:dyDescent="0.2">
      <c r="S145" s="42"/>
      <c r="T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</row>
    <row r="146" spans="19:54" x14ac:dyDescent="0.2">
      <c r="S146" s="42"/>
      <c r="T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</row>
    <row r="147" spans="19:54" x14ac:dyDescent="0.2">
      <c r="S147" s="42"/>
      <c r="T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</row>
    <row r="148" spans="19:54" x14ac:dyDescent="0.2">
      <c r="S148" s="42"/>
      <c r="T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</row>
    <row r="149" spans="19:54" x14ac:dyDescent="0.2">
      <c r="S149" s="42"/>
      <c r="T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</row>
    <row r="150" spans="19:54" x14ac:dyDescent="0.2">
      <c r="S150" s="42"/>
      <c r="T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</row>
    <row r="151" spans="19:54" x14ac:dyDescent="0.2">
      <c r="S151" s="42"/>
      <c r="T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</row>
    <row r="152" spans="19:54" x14ac:dyDescent="0.2">
      <c r="S152" s="42"/>
      <c r="T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</row>
    <row r="153" spans="19:54" x14ac:dyDescent="0.2">
      <c r="S153" s="42"/>
      <c r="T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</row>
    <row r="154" spans="19:54" x14ac:dyDescent="0.2">
      <c r="S154" s="42"/>
      <c r="T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</row>
    <row r="155" spans="19:54" x14ac:dyDescent="0.2">
      <c r="S155" s="42"/>
      <c r="T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</row>
    <row r="156" spans="19:54" x14ac:dyDescent="0.2">
      <c r="S156" s="42"/>
      <c r="T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</row>
    <row r="157" spans="19:54" x14ac:dyDescent="0.2">
      <c r="S157" s="42"/>
      <c r="T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</row>
    <row r="158" spans="19:54" x14ac:dyDescent="0.2">
      <c r="S158" s="42"/>
      <c r="T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</row>
    <row r="159" spans="19:54" x14ac:dyDescent="0.2">
      <c r="S159" s="42"/>
      <c r="T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</row>
    <row r="160" spans="19:54" x14ac:dyDescent="0.2">
      <c r="S160" s="42"/>
      <c r="T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</row>
    <row r="161" spans="19:54" x14ac:dyDescent="0.2">
      <c r="S161" s="42"/>
      <c r="T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</row>
    <row r="162" spans="19:54" x14ac:dyDescent="0.2">
      <c r="S162" s="42"/>
      <c r="T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</row>
    <row r="163" spans="19:54" x14ac:dyDescent="0.2">
      <c r="S163" s="42"/>
      <c r="T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</row>
    <row r="164" spans="19:54" x14ac:dyDescent="0.2">
      <c r="S164" s="42"/>
      <c r="T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</row>
    <row r="165" spans="19:54" x14ac:dyDescent="0.2">
      <c r="S165" s="42"/>
      <c r="T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</row>
    <row r="166" spans="19:54" x14ac:dyDescent="0.2">
      <c r="S166" s="42"/>
      <c r="T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</row>
    <row r="167" spans="19:54" x14ac:dyDescent="0.2">
      <c r="S167" s="42"/>
      <c r="T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</row>
    <row r="168" spans="19:54" x14ac:dyDescent="0.2">
      <c r="S168" s="42"/>
      <c r="T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</row>
    <row r="169" spans="19:54" x14ac:dyDescent="0.2">
      <c r="S169" s="42"/>
      <c r="T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</row>
    <row r="170" spans="19:54" x14ac:dyDescent="0.2">
      <c r="S170" s="42"/>
      <c r="T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</row>
    <row r="171" spans="19:54" x14ac:dyDescent="0.2">
      <c r="S171" s="42"/>
      <c r="T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</row>
    <row r="172" spans="19:54" x14ac:dyDescent="0.2">
      <c r="S172" s="42"/>
      <c r="T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</row>
    <row r="173" spans="19:54" x14ac:dyDescent="0.2">
      <c r="S173" s="42"/>
      <c r="T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</row>
    <row r="174" spans="19:54" x14ac:dyDescent="0.2">
      <c r="S174" s="42"/>
      <c r="T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</row>
    <row r="175" spans="19:54" x14ac:dyDescent="0.2">
      <c r="S175" s="42"/>
      <c r="T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</row>
    <row r="176" spans="19:54" x14ac:dyDescent="0.2">
      <c r="S176" s="42"/>
      <c r="T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</row>
    <row r="177" spans="19:54" x14ac:dyDescent="0.2">
      <c r="S177" s="42"/>
      <c r="T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</row>
    <row r="178" spans="19:54" x14ac:dyDescent="0.2">
      <c r="S178" s="42"/>
      <c r="T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</row>
    <row r="179" spans="19:54" x14ac:dyDescent="0.2">
      <c r="S179" s="42"/>
      <c r="T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</row>
    <row r="180" spans="19:54" x14ac:dyDescent="0.2">
      <c r="S180" s="42"/>
      <c r="T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</row>
    <row r="181" spans="19:54" x14ac:dyDescent="0.2">
      <c r="S181" s="42"/>
      <c r="T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</row>
    <row r="182" spans="19:54" x14ac:dyDescent="0.2">
      <c r="S182" s="42"/>
      <c r="T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</row>
    <row r="183" spans="19:54" x14ac:dyDescent="0.2">
      <c r="S183" s="42"/>
      <c r="T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</row>
    <row r="184" spans="19:54" x14ac:dyDescent="0.2">
      <c r="S184" s="42"/>
      <c r="T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</row>
    <row r="185" spans="19:54" x14ac:dyDescent="0.2">
      <c r="S185" s="42"/>
      <c r="T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</row>
    <row r="186" spans="19:54" x14ac:dyDescent="0.2">
      <c r="S186" s="42"/>
      <c r="T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</row>
    <row r="187" spans="19:54" x14ac:dyDescent="0.2">
      <c r="S187" s="42"/>
      <c r="T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</row>
    <row r="188" spans="19:54" x14ac:dyDescent="0.2">
      <c r="S188" s="42"/>
      <c r="T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</row>
    <row r="189" spans="19:54" x14ac:dyDescent="0.2">
      <c r="S189" s="42"/>
      <c r="T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</row>
    <row r="190" spans="19:54" x14ac:dyDescent="0.2">
      <c r="S190" s="42"/>
      <c r="T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</row>
    <row r="191" spans="19:54" x14ac:dyDescent="0.2">
      <c r="S191" s="42"/>
      <c r="T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</row>
    <row r="192" spans="19:54" x14ac:dyDescent="0.2">
      <c r="S192" s="42"/>
      <c r="T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</row>
    <row r="193" spans="19:54" x14ac:dyDescent="0.2">
      <c r="S193" s="42"/>
      <c r="T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</row>
    <row r="194" spans="19:54" x14ac:dyDescent="0.2">
      <c r="S194" s="42"/>
      <c r="T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</row>
    <row r="195" spans="19:54" x14ac:dyDescent="0.2">
      <c r="S195" s="42"/>
      <c r="T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</row>
    <row r="196" spans="19:54" x14ac:dyDescent="0.2">
      <c r="S196" s="42"/>
      <c r="T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</row>
    <row r="197" spans="19:54" x14ac:dyDescent="0.2">
      <c r="S197" s="42"/>
      <c r="T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</row>
    <row r="198" spans="19:54" x14ac:dyDescent="0.2">
      <c r="S198" s="42"/>
      <c r="T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</row>
    <row r="199" spans="19:54" x14ac:dyDescent="0.2">
      <c r="S199" s="42"/>
      <c r="T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</row>
    <row r="200" spans="19:54" x14ac:dyDescent="0.2">
      <c r="S200" s="42"/>
      <c r="T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</row>
    <row r="201" spans="19:54" x14ac:dyDescent="0.2">
      <c r="S201" s="42"/>
      <c r="T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</row>
    <row r="202" spans="19:54" x14ac:dyDescent="0.2">
      <c r="S202" s="42"/>
      <c r="T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</row>
    <row r="203" spans="19:54" x14ac:dyDescent="0.2">
      <c r="S203" s="42"/>
      <c r="T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</row>
    <row r="204" spans="19:54" x14ac:dyDescent="0.2">
      <c r="S204" s="42"/>
      <c r="T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</row>
    <row r="205" spans="19:54" x14ac:dyDescent="0.2">
      <c r="S205" s="42"/>
      <c r="T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</row>
    <row r="206" spans="19:54" x14ac:dyDescent="0.2">
      <c r="AA206" s="42"/>
      <c r="AB206" s="42"/>
    </row>
    <row r="207" spans="19:54" x14ac:dyDescent="0.2">
      <c r="AA207" s="42"/>
      <c r="AB207" s="42"/>
    </row>
    <row r="208" spans="19:54" x14ac:dyDescent="0.2">
      <c r="AA208" s="42"/>
      <c r="AB208" s="42"/>
    </row>
    <row r="209" spans="27:28" x14ac:dyDescent="0.2">
      <c r="AA209" s="42"/>
      <c r="AB209" s="42"/>
    </row>
    <row r="210" spans="27:28" x14ac:dyDescent="0.2">
      <c r="AA210" s="42"/>
      <c r="AB210" s="42"/>
    </row>
    <row r="211" spans="27:28" x14ac:dyDescent="0.2">
      <c r="AA211" s="42"/>
      <c r="AB211" s="42"/>
    </row>
    <row r="212" spans="27:28" x14ac:dyDescent="0.2">
      <c r="AA212" s="42"/>
      <c r="AB212" s="42"/>
    </row>
    <row r="213" spans="27:28" x14ac:dyDescent="0.2">
      <c r="AA213" s="42"/>
      <c r="AB213" s="42"/>
    </row>
    <row r="214" spans="27:28" x14ac:dyDescent="0.2">
      <c r="AA214" s="42"/>
      <c r="AB214" s="42"/>
    </row>
    <row r="215" spans="27:28" x14ac:dyDescent="0.2">
      <c r="AA215" s="42"/>
      <c r="AB215" s="42"/>
    </row>
    <row r="216" spans="27:28" x14ac:dyDescent="0.2">
      <c r="AA216" s="42"/>
      <c r="AB216" s="42"/>
    </row>
    <row r="217" spans="27:28" x14ac:dyDescent="0.2">
      <c r="AA217" s="42"/>
      <c r="AB217" s="42"/>
    </row>
    <row r="218" spans="27:28" x14ac:dyDescent="0.2">
      <c r="AA218" s="42"/>
      <c r="AB218" s="42"/>
    </row>
    <row r="219" spans="27:28" x14ac:dyDescent="0.2">
      <c r="AA219" s="42"/>
      <c r="AB219" s="42"/>
    </row>
    <row r="220" spans="27:28" x14ac:dyDescent="0.2">
      <c r="AA220" s="42"/>
      <c r="AB220" s="42"/>
    </row>
    <row r="221" spans="27:28" x14ac:dyDescent="0.2">
      <c r="AA221" s="42"/>
      <c r="AB221" s="42"/>
    </row>
    <row r="222" spans="27:28" x14ac:dyDescent="0.2">
      <c r="AA222" s="42"/>
      <c r="AB222" s="42"/>
    </row>
    <row r="223" spans="27:28" x14ac:dyDescent="0.2">
      <c r="AA223" s="42"/>
      <c r="AB223" s="42"/>
    </row>
    <row r="224" spans="27:28" x14ac:dyDescent="0.2">
      <c r="AA224" s="42"/>
      <c r="AB224" s="42"/>
    </row>
    <row r="225" spans="27:28" x14ac:dyDescent="0.2">
      <c r="AA225" s="42"/>
      <c r="AB225" s="42"/>
    </row>
    <row r="226" spans="27:28" x14ac:dyDescent="0.2">
      <c r="AA226" s="42"/>
      <c r="AB226" s="42"/>
    </row>
    <row r="227" spans="27:28" x14ac:dyDescent="0.2">
      <c r="AA227" s="42"/>
      <c r="AB227" s="42"/>
    </row>
    <row r="228" spans="27:28" x14ac:dyDescent="0.2">
      <c r="AA228" s="42"/>
      <c r="AB228" s="42"/>
    </row>
    <row r="229" spans="27:28" x14ac:dyDescent="0.2">
      <c r="AA229" s="42"/>
      <c r="AB229" s="42"/>
    </row>
    <row r="230" spans="27:28" x14ac:dyDescent="0.2">
      <c r="AA230" s="42"/>
      <c r="AB230" s="42"/>
    </row>
    <row r="231" spans="27:28" x14ac:dyDescent="0.2">
      <c r="AA231" s="42"/>
      <c r="AB231" s="42"/>
    </row>
    <row r="232" spans="27:28" x14ac:dyDescent="0.2">
      <c r="AA232" s="42"/>
      <c r="AB232" s="42"/>
    </row>
    <row r="233" spans="27:28" x14ac:dyDescent="0.2">
      <c r="AA233" s="42"/>
      <c r="AB233" s="42"/>
    </row>
    <row r="234" spans="27:28" x14ac:dyDescent="0.2">
      <c r="AA234" s="42"/>
      <c r="AB234" s="42"/>
    </row>
    <row r="235" spans="27:28" x14ac:dyDescent="0.2">
      <c r="AA235" s="42"/>
      <c r="AB235" s="42"/>
    </row>
    <row r="236" spans="27:28" x14ac:dyDescent="0.2">
      <c r="AA236" s="42"/>
      <c r="AB236" s="42"/>
    </row>
    <row r="237" spans="27:28" x14ac:dyDescent="0.2">
      <c r="AA237" s="42"/>
      <c r="AB237" s="42"/>
    </row>
    <row r="238" spans="27:28" x14ac:dyDescent="0.2">
      <c r="AA238" s="42"/>
      <c r="AB238" s="42"/>
    </row>
    <row r="239" spans="27:28" x14ac:dyDescent="0.2">
      <c r="AA239" s="42"/>
      <c r="AB239" s="42"/>
    </row>
    <row r="240" spans="27:28" x14ac:dyDescent="0.2">
      <c r="AA240" s="42"/>
      <c r="AB240" s="42"/>
    </row>
    <row r="241" spans="27:28" x14ac:dyDescent="0.2">
      <c r="AA241" s="42"/>
      <c r="AB241" s="42"/>
    </row>
    <row r="242" spans="27:28" x14ac:dyDescent="0.2">
      <c r="AA242" s="42"/>
      <c r="AB242" s="42"/>
    </row>
    <row r="243" spans="27:28" x14ac:dyDescent="0.2">
      <c r="AA243" s="42"/>
      <c r="AB243" s="42"/>
    </row>
    <row r="244" spans="27:28" x14ac:dyDescent="0.2">
      <c r="AA244" s="42"/>
      <c r="AB244" s="42"/>
    </row>
    <row r="245" spans="27:28" x14ac:dyDescent="0.2">
      <c r="AA245" s="42"/>
      <c r="AB245" s="42"/>
    </row>
    <row r="246" spans="27:28" x14ac:dyDescent="0.2">
      <c r="AA246" s="42"/>
      <c r="AB246" s="42"/>
    </row>
    <row r="247" spans="27:28" x14ac:dyDescent="0.2">
      <c r="AA247" s="42"/>
      <c r="AB247" s="42"/>
    </row>
    <row r="248" spans="27:28" x14ac:dyDescent="0.2">
      <c r="AA248" s="42"/>
      <c r="AB248" s="42"/>
    </row>
    <row r="249" spans="27:28" x14ac:dyDescent="0.2">
      <c r="AA249" s="42"/>
      <c r="AB249" s="42"/>
    </row>
    <row r="250" spans="27:28" x14ac:dyDescent="0.2">
      <c r="AA250" s="42"/>
      <c r="AB250" s="42"/>
    </row>
    <row r="251" spans="27:28" x14ac:dyDescent="0.2">
      <c r="AA251" s="42"/>
      <c r="AB251" s="42"/>
    </row>
    <row r="252" spans="27:28" x14ac:dyDescent="0.2">
      <c r="AA252" s="42"/>
      <c r="AB252" s="42"/>
    </row>
    <row r="253" spans="27:28" x14ac:dyDescent="0.2">
      <c r="AA253" s="42"/>
      <c r="AB253" s="42"/>
    </row>
    <row r="254" spans="27:28" x14ac:dyDescent="0.2">
      <c r="AA254" s="42"/>
      <c r="AB254" s="42"/>
    </row>
    <row r="255" spans="27:28" x14ac:dyDescent="0.2">
      <c r="AA255" s="42"/>
      <c r="AB255" s="42"/>
    </row>
    <row r="256" spans="27:28" x14ac:dyDescent="0.2">
      <c r="AA256" s="42"/>
      <c r="AB256" s="42"/>
    </row>
    <row r="257" spans="27:28" x14ac:dyDescent="0.2">
      <c r="AA257" s="42"/>
      <c r="AB257" s="42"/>
    </row>
    <row r="258" spans="27:28" x14ac:dyDescent="0.2">
      <c r="AA258" s="42"/>
      <c r="AB258" s="42"/>
    </row>
    <row r="259" spans="27:28" x14ac:dyDescent="0.2">
      <c r="AA259" s="42"/>
      <c r="AB259" s="42"/>
    </row>
    <row r="260" spans="27:28" x14ac:dyDescent="0.2">
      <c r="AA260" s="42"/>
      <c r="AB260" s="42"/>
    </row>
    <row r="261" spans="27:28" x14ac:dyDescent="0.2">
      <c r="AA261" s="42"/>
      <c r="AB261" s="42"/>
    </row>
    <row r="262" spans="27:28" x14ac:dyDescent="0.2">
      <c r="AA262" s="42"/>
      <c r="AB262" s="42"/>
    </row>
    <row r="263" spans="27:28" x14ac:dyDescent="0.2">
      <c r="AA263" s="42"/>
      <c r="AB263" s="42"/>
    </row>
    <row r="264" spans="27:28" x14ac:dyDescent="0.2">
      <c r="AA264" s="42"/>
      <c r="AB264" s="42"/>
    </row>
    <row r="265" spans="27:28" x14ac:dyDescent="0.2">
      <c r="AA265" s="42"/>
      <c r="AB265" s="42"/>
    </row>
    <row r="266" spans="27:28" x14ac:dyDescent="0.2">
      <c r="AA266" s="42"/>
      <c r="AB266" s="42"/>
    </row>
    <row r="267" spans="27:28" x14ac:dyDescent="0.2">
      <c r="AA267" s="42"/>
      <c r="AB267" s="42"/>
    </row>
    <row r="268" spans="27:28" x14ac:dyDescent="0.2">
      <c r="AA268" s="42"/>
      <c r="AB268" s="42"/>
    </row>
    <row r="269" spans="27:28" x14ac:dyDescent="0.2">
      <c r="AA269" s="42"/>
      <c r="AB269" s="42"/>
    </row>
    <row r="270" spans="27:28" x14ac:dyDescent="0.2">
      <c r="AA270" s="42"/>
      <c r="AB270" s="42"/>
    </row>
    <row r="271" spans="27:28" x14ac:dyDescent="0.2">
      <c r="AA271" s="42"/>
      <c r="AB271" s="42"/>
    </row>
    <row r="272" spans="27:28" x14ac:dyDescent="0.2">
      <c r="AA272" s="42"/>
      <c r="AB272" s="42"/>
    </row>
    <row r="273" spans="27:28" x14ac:dyDescent="0.2">
      <c r="AA273" s="42"/>
      <c r="AB273" s="42"/>
    </row>
    <row r="274" spans="27:28" x14ac:dyDescent="0.2">
      <c r="AA274" s="42"/>
      <c r="AB274" s="42"/>
    </row>
    <row r="275" spans="27:28" x14ac:dyDescent="0.2">
      <c r="AA275" s="42"/>
      <c r="AB275" s="42"/>
    </row>
    <row r="276" spans="27:28" x14ac:dyDescent="0.2">
      <c r="AA276" s="42"/>
      <c r="AB276" s="42"/>
    </row>
    <row r="277" spans="27:28" x14ac:dyDescent="0.2">
      <c r="AA277" s="42"/>
      <c r="AB277" s="42"/>
    </row>
    <row r="278" spans="27:28" x14ac:dyDescent="0.2">
      <c r="AA278" s="42"/>
      <c r="AB278" s="42"/>
    </row>
    <row r="279" spans="27:28" x14ac:dyDescent="0.2">
      <c r="AA279" s="42"/>
      <c r="AB279" s="42"/>
    </row>
    <row r="280" spans="27:28" x14ac:dyDescent="0.2">
      <c r="AA280" s="42"/>
      <c r="AB280" s="42"/>
    </row>
    <row r="281" spans="27:28" x14ac:dyDescent="0.2">
      <c r="AA281" s="42"/>
      <c r="AB281" s="42"/>
    </row>
    <row r="282" spans="27:28" x14ac:dyDescent="0.2">
      <c r="AA282" s="42"/>
      <c r="AB282" s="42"/>
    </row>
    <row r="283" spans="27:28" x14ac:dyDescent="0.2">
      <c r="AA283" s="42"/>
      <c r="AB283" s="42"/>
    </row>
    <row r="284" spans="27:28" x14ac:dyDescent="0.2">
      <c r="AA284" s="42"/>
      <c r="AB284" s="42"/>
    </row>
    <row r="285" spans="27:28" x14ac:dyDescent="0.2">
      <c r="AA285" s="42"/>
      <c r="AB285" s="42"/>
    </row>
    <row r="286" spans="27:28" x14ac:dyDescent="0.2">
      <c r="AA286" s="42"/>
      <c r="AB286" s="42"/>
    </row>
    <row r="287" spans="27:28" x14ac:dyDescent="0.2">
      <c r="AA287" s="42"/>
      <c r="AB287" s="42"/>
    </row>
    <row r="288" spans="27:28" x14ac:dyDescent="0.2">
      <c r="AA288" s="42"/>
      <c r="AB288" s="42"/>
    </row>
    <row r="289" spans="27:28" x14ac:dyDescent="0.2">
      <c r="AA289" s="42"/>
      <c r="AB289" s="42"/>
    </row>
    <row r="290" spans="27:28" x14ac:dyDescent="0.2">
      <c r="AA290" s="42"/>
      <c r="AB290" s="42"/>
    </row>
    <row r="291" spans="27:28" x14ac:dyDescent="0.2">
      <c r="AA291" s="42"/>
      <c r="AB291" s="42"/>
    </row>
    <row r="292" spans="27:28" x14ac:dyDescent="0.2">
      <c r="AA292" s="42"/>
      <c r="AB292" s="42"/>
    </row>
    <row r="293" spans="27:28" x14ac:dyDescent="0.2">
      <c r="AA293" s="42"/>
      <c r="AB293" s="42"/>
    </row>
    <row r="294" spans="27:28" x14ac:dyDescent="0.2">
      <c r="AA294" s="42"/>
      <c r="AB294" s="42"/>
    </row>
    <row r="295" spans="27:28" x14ac:dyDescent="0.2">
      <c r="AA295" s="42"/>
      <c r="AB295" s="42"/>
    </row>
    <row r="296" spans="27:28" x14ac:dyDescent="0.2">
      <c r="AA296" s="42"/>
      <c r="AB296" s="42"/>
    </row>
    <row r="297" spans="27:28" x14ac:dyDescent="0.2">
      <c r="AA297" s="42"/>
      <c r="AB297" s="42"/>
    </row>
    <row r="298" spans="27:28" x14ac:dyDescent="0.2">
      <c r="AA298" s="42"/>
      <c r="AB298" s="42"/>
    </row>
    <row r="299" spans="27:28" x14ac:dyDescent="0.2">
      <c r="AA299" s="42"/>
      <c r="AB299" s="42"/>
    </row>
    <row r="300" spans="27:28" x14ac:dyDescent="0.2">
      <c r="AA300" s="42"/>
      <c r="AB300" s="42"/>
    </row>
    <row r="301" spans="27:28" x14ac:dyDescent="0.2">
      <c r="AA301" s="42"/>
      <c r="AB301" s="42"/>
    </row>
    <row r="302" spans="27:28" x14ac:dyDescent="0.2">
      <c r="AA302" s="42"/>
      <c r="AB302" s="42"/>
    </row>
    <row r="303" spans="27:28" x14ac:dyDescent="0.2">
      <c r="AA303" s="42"/>
      <c r="AB303" s="42"/>
    </row>
    <row r="304" spans="27:28" x14ac:dyDescent="0.2">
      <c r="AA304" s="42"/>
      <c r="AB304" s="42"/>
    </row>
    <row r="305" spans="27:28" x14ac:dyDescent="0.2">
      <c r="AA305" s="42"/>
      <c r="AB305" s="42"/>
    </row>
    <row r="306" spans="27:28" x14ac:dyDescent="0.2">
      <c r="AA306" s="42"/>
      <c r="AB306" s="42"/>
    </row>
    <row r="307" spans="27:28" x14ac:dyDescent="0.2">
      <c r="AA307" s="42"/>
      <c r="AB307" s="42"/>
    </row>
    <row r="308" spans="27:28" x14ac:dyDescent="0.2">
      <c r="AA308" s="42"/>
      <c r="AB308" s="42"/>
    </row>
    <row r="309" spans="27:28" x14ac:dyDescent="0.2">
      <c r="AA309" s="42"/>
      <c r="AB309" s="42"/>
    </row>
    <row r="310" spans="27:28" x14ac:dyDescent="0.2">
      <c r="AA310" s="42"/>
      <c r="AB310" s="42"/>
    </row>
    <row r="311" spans="27:28" x14ac:dyDescent="0.2">
      <c r="AA311" s="42"/>
      <c r="AB311" s="42"/>
    </row>
    <row r="312" spans="27:28" x14ac:dyDescent="0.2">
      <c r="AA312" s="42"/>
      <c r="AB312" s="42"/>
    </row>
    <row r="313" spans="27:28" x14ac:dyDescent="0.2">
      <c r="AA313" s="42"/>
      <c r="AB313" s="42"/>
    </row>
    <row r="314" spans="27:28" x14ac:dyDescent="0.2">
      <c r="AA314" s="42"/>
      <c r="AB314" s="42"/>
    </row>
    <row r="315" spans="27:28" x14ac:dyDescent="0.2">
      <c r="AA315" s="42"/>
      <c r="AB315" s="42"/>
    </row>
    <row r="316" spans="27:28" x14ac:dyDescent="0.2">
      <c r="AA316" s="42"/>
      <c r="AB316" s="42"/>
    </row>
    <row r="317" spans="27:28" x14ac:dyDescent="0.2">
      <c r="AA317" s="42"/>
      <c r="AB317" s="42"/>
    </row>
    <row r="318" spans="27:28" x14ac:dyDescent="0.2">
      <c r="AA318" s="42"/>
      <c r="AB318" s="42"/>
    </row>
    <row r="319" spans="27:28" x14ac:dyDescent="0.2">
      <c r="AA319" s="42"/>
      <c r="AB319" s="42"/>
    </row>
    <row r="320" spans="27:28" x14ac:dyDescent="0.2">
      <c r="AA320" s="42"/>
      <c r="AB320" s="42"/>
    </row>
    <row r="321" spans="27:28" x14ac:dyDescent="0.2">
      <c r="AA321" s="42"/>
      <c r="AB321" s="42"/>
    </row>
    <row r="322" spans="27:28" x14ac:dyDescent="0.2">
      <c r="AA322" s="42"/>
      <c r="AB322" s="42"/>
    </row>
    <row r="323" spans="27:28" x14ac:dyDescent="0.2">
      <c r="AA323" s="42"/>
      <c r="AB323" s="42"/>
    </row>
    <row r="324" spans="27:28" x14ac:dyDescent="0.2">
      <c r="AA324" s="42"/>
      <c r="AB324" s="42"/>
    </row>
    <row r="325" spans="27:28" x14ac:dyDescent="0.2">
      <c r="AA325" s="42"/>
      <c r="AB325" s="42"/>
    </row>
    <row r="326" spans="27:28" x14ac:dyDescent="0.2">
      <c r="AA326" s="42"/>
      <c r="AB326" s="42"/>
    </row>
    <row r="327" spans="27:28" x14ac:dyDescent="0.2">
      <c r="AA327" s="42"/>
      <c r="AB327" s="42"/>
    </row>
    <row r="328" spans="27:28" x14ac:dyDescent="0.2">
      <c r="AA328" s="42"/>
      <c r="AB328" s="42"/>
    </row>
    <row r="329" spans="27:28" x14ac:dyDescent="0.2">
      <c r="AA329" s="42"/>
      <c r="AB329" s="42"/>
    </row>
    <row r="330" spans="27:28" x14ac:dyDescent="0.2">
      <c r="AA330" s="42"/>
      <c r="AB330" s="42"/>
    </row>
    <row r="331" spans="27:28" x14ac:dyDescent="0.2">
      <c r="AA331" s="42"/>
      <c r="AB331" s="42"/>
    </row>
    <row r="332" spans="27:28" x14ac:dyDescent="0.2">
      <c r="AA332" s="42"/>
      <c r="AB332" s="42"/>
    </row>
    <row r="333" spans="27:28" x14ac:dyDescent="0.2">
      <c r="AA333" s="42"/>
      <c r="AB333" s="42"/>
    </row>
    <row r="334" spans="27:28" x14ac:dyDescent="0.2">
      <c r="AA334" s="42"/>
      <c r="AB334" s="42"/>
    </row>
    <row r="335" spans="27:28" x14ac:dyDescent="0.2">
      <c r="AA335" s="42"/>
      <c r="AB335" s="42"/>
    </row>
    <row r="336" spans="27:28" x14ac:dyDescent="0.2">
      <c r="AA336" s="42"/>
      <c r="AB336" s="42"/>
    </row>
    <row r="337" spans="27:28" x14ac:dyDescent="0.2">
      <c r="AA337" s="42"/>
      <c r="AB337" s="42"/>
    </row>
    <row r="338" spans="27:28" x14ac:dyDescent="0.2">
      <c r="AA338" s="42"/>
      <c r="AB338" s="42"/>
    </row>
    <row r="339" spans="27:28" x14ac:dyDescent="0.2">
      <c r="AA339" s="42"/>
      <c r="AB339" s="42"/>
    </row>
    <row r="340" spans="27:28" x14ac:dyDescent="0.2">
      <c r="AA340" s="42"/>
      <c r="AB340" s="42"/>
    </row>
    <row r="341" spans="27:28" x14ac:dyDescent="0.2">
      <c r="AA341" s="42"/>
      <c r="AB341" s="42"/>
    </row>
    <row r="342" spans="27:28" x14ac:dyDescent="0.2">
      <c r="AA342" s="42"/>
      <c r="AB342" s="42"/>
    </row>
    <row r="343" spans="27:28" x14ac:dyDescent="0.2">
      <c r="AA343" s="42"/>
      <c r="AB343" s="42"/>
    </row>
    <row r="344" spans="27:28" x14ac:dyDescent="0.2">
      <c r="AA344" s="42"/>
      <c r="AB344" s="42"/>
    </row>
    <row r="345" spans="27:28" x14ac:dyDescent="0.2">
      <c r="AA345" s="42"/>
      <c r="AB345" s="42"/>
    </row>
    <row r="346" spans="27:28" x14ac:dyDescent="0.2">
      <c r="AA346" s="42"/>
      <c r="AB346" s="42"/>
    </row>
    <row r="347" spans="27:28" x14ac:dyDescent="0.2">
      <c r="AA347" s="42"/>
      <c r="AB347" s="42"/>
    </row>
    <row r="348" spans="27:28" x14ac:dyDescent="0.2">
      <c r="AA348" s="42"/>
      <c r="AB348" s="42"/>
    </row>
    <row r="349" spans="27:28" x14ac:dyDescent="0.2">
      <c r="AA349" s="42"/>
      <c r="AB349" s="42"/>
    </row>
    <row r="350" spans="27:28" x14ac:dyDescent="0.2">
      <c r="AA350" s="42"/>
      <c r="AB350" s="42"/>
    </row>
    <row r="351" spans="27:28" x14ac:dyDescent="0.2">
      <c r="AA351" s="42"/>
      <c r="AB351" s="42"/>
    </row>
    <row r="352" spans="27:28" x14ac:dyDescent="0.2">
      <c r="AA352" s="42"/>
      <c r="AB352" s="42"/>
    </row>
    <row r="353" spans="27:28" x14ac:dyDescent="0.2">
      <c r="AA353" s="42"/>
      <c r="AB353" s="42"/>
    </row>
    <row r="354" spans="27:28" x14ac:dyDescent="0.2">
      <c r="AA354" s="42"/>
      <c r="AB354" s="42"/>
    </row>
    <row r="355" spans="27:28" x14ac:dyDescent="0.2">
      <c r="AA355" s="42"/>
      <c r="AB355" s="42"/>
    </row>
    <row r="356" spans="27:28" x14ac:dyDescent="0.2">
      <c r="AA356" s="42"/>
      <c r="AB356" s="42"/>
    </row>
    <row r="357" spans="27:28" x14ac:dyDescent="0.2">
      <c r="AA357" s="42"/>
      <c r="AB357" s="42"/>
    </row>
    <row r="358" spans="27:28" x14ac:dyDescent="0.2">
      <c r="AA358" s="42"/>
      <c r="AB358" s="42"/>
    </row>
    <row r="359" spans="27:28" x14ac:dyDescent="0.2">
      <c r="AA359" s="42"/>
      <c r="AB359" s="42"/>
    </row>
    <row r="360" spans="27:28" x14ac:dyDescent="0.2">
      <c r="AA360" s="42"/>
      <c r="AB360" s="42"/>
    </row>
    <row r="361" spans="27:28" x14ac:dyDescent="0.2">
      <c r="AA361" s="42"/>
      <c r="AB361" s="42"/>
    </row>
    <row r="362" spans="27:28" x14ac:dyDescent="0.2">
      <c r="AA362" s="42"/>
      <c r="AB362" s="42"/>
    </row>
    <row r="363" spans="27:28" x14ac:dyDescent="0.2">
      <c r="AA363" s="42"/>
      <c r="AB363" s="42"/>
    </row>
    <row r="364" spans="27:28" x14ac:dyDescent="0.2">
      <c r="AA364" s="42"/>
      <c r="AB364" s="42"/>
    </row>
    <row r="365" spans="27:28" x14ac:dyDescent="0.2">
      <c r="AA365" s="42"/>
      <c r="AB365" s="42"/>
    </row>
    <row r="366" spans="27:28" x14ac:dyDescent="0.2">
      <c r="AA366" s="42"/>
      <c r="AB366" s="42"/>
    </row>
    <row r="367" spans="27:28" x14ac:dyDescent="0.2">
      <c r="AA367" s="42"/>
      <c r="AB367" s="42"/>
    </row>
    <row r="368" spans="27:28" x14ac:dyDescent="0.2">
      <c r="AA368" s="42"/>
      <c r="AB368" s="42"/>
    </row>
    <row r="369" spans="27:28" x14ac:dyDescent="0.2">
      <c r="AA369" s="42"/>
      <c r="AB369" s="42"/>
    </row>
    <row r="370" spans="27:28" x14ac:dyDescent="0.2">
      <c r="AA370" s="42"/>
      <c r="AB370" s="42"/>
    </row>
    <row r="371" spans="27:28" x14ac:dyDescent="0.2">
      <c r="AA371" s="42"/>
      <c r="AB371" s="42"/>
    </row>
    <row r="372" spans="27:28" x14ac:dyDescent="0.2">
      <c r="AA372" s="42"/>
      <c r="AB372" s="42"/>
    </row>
    <row r="373" spans="27:28" x14ac:dyDescent="0.2">
      <c r="AA373" s="42"/>
      <c r="AB373" s="42"/>
    </row>
    <row r="374" spans="27:28" x14ac:dyDescent="0.2">
      <c r="AA374" s="42"/>
      <c r="AB374" s="42"/>
    </row>
    <row r="375" spans="27:28" x14ac:dyDescent="0.2">
      <c r="AA375" s="42"/>
      <c r="AB375" s="42"/>
    </row>
    <row r="376" spans="27:28" x14ac:dyDescent="0.2">
      <c r="AA376" s="42"/>
      <c r="AB376" s="42"/>
    </row>
    <row r="377" spans="27:28" x14ac:dyDescent="0.2">
      <c r="AA377" s="42"/>
      <c r="AB377" s="42"/>
    </row>
    <row r="378" spans="27:28" x14ac:dyDescent="0.2">
      <c r="AA378" s="42"/>
      <c r="AB378" s="42"/>
    </row>
    <row r="379" spans="27:28" x14ac:dyDescent="0.2">
      <c r="AA379" s="42"/>
      <c r="AB379" s="42"/>
    </row>
    <row r="380" spans="27:28" x14ac:dyDescent="0.2">
      <c r="AA380" s="42"/>
      <c r="AB380" s="42"/>
    </row>
    <row r="381" spans="27:28" x14ac:dyDescent="0.2">
      <c r="AA381" s="42"/>
      <c r="AB381" s="42"/>
    </row>
    <row r="382" spans="27:28" x14ac:dyDescent="0.2">
      <c r="AA382" s="42"/>
      <c r="AB382" s="42"/>
    </row>
    <row r="383" spans="27:28" x14ac:dyDescent="0.2">
      <c r="AA383" s="42"/>
      <c r="AB383" s="42"/>
    </row>
    <row r="384" spans="27:28" x14ac:dyDescent="0.2">
      <c r="AA384" s="42"/>
      <c r="AB384" s="42"/>
    </row>
    <row r="385" spans="27:28" x14ac:dyDescent="0.2">
      <c r="AA385" s="42"/>
      <c r="AB385" s="42"/>
    </row>
    <row r="386" spans="27:28" x14ac:dyDescent="0.2">
      <c r="AA386" s="42"/>
      <c r="AB386" s="42"/>
    </row>
    <row r="387" spans="27:28" x14ac:dyDescent="0.2">
      <c r="AA387" s="42"/>
      <c r="AB387" s="42"/>
    </row>
    <row r="388" spans="27:28" x14ac:dyDescent="0.2">
      <c r="AA388" s="42"/>
      <c r="AB388" s="42"/>
    </row>
    <row r="389" spans="27:28" x14ac:dyDescent="0.2">
      <c r="AA389" s="42"/>
      <c r="AB389" s="42"/>
    </row>
    <row r="390" spans="27:28" x14ac:dyDescent="0.2">
      <c r="AA390" s="42"/>
      <c r="AB390" s="42"/>
    </row>
    <row r="391" spans="27:28" x14ac:dyDescent="0.2">
      <c r="AA391" s="42"/>
      <c r="AB391" s="42"/>
    </row>
    <row r="392" spans="27:28" x14ac:dyDescent="0.2">
      <c r="AA392" s="42"/>
      <c r="AB392" s="42"/>
    </row>
    <row r="393" spans="27:28" x14ac:dyDescent="0.2">
      <c r="AA393" s="42"/>
      <c r="AB393" s="42"/>
    </row>
    <row r="394" spans="27:28" x14ac:dyDescent="0.2">
      <c r="AA394" s="42"/>
      <c r="AB394" s="42"/>
    </row>
    <row r="395" spans="27:28" x14ac:dyDescent="0.2">
      <c r="AA395" s="42"/>
      <c r="AB395" s="42"/>
    </row>
    <row r="396" spans="27:28" x14ac:dyDescent="0.2">
      <c r="AA396" s="42"/>
      <c r="AB396" s="42"/>
    </row>
    <row r="397" spans="27:28" x14ac:dyDescent="0.2">
      <c r="AA397" s="42"/>
      <c r="AB397" s="42"/>
    </row>
    <row r="398" spans="27:28" x14ac:dyDescent="0.2">
      <c r="AA398" s="42"/>
      <c r="AB398" s="42"/>
    </row>
    <row r="399" spans="27:28" x14ac:dyDescent="0.2">
      <c r="AA399" s="42"/>
      <c r="AB399" s="42"/>
    </row>
    <row r="400" spans="27:28" x14ac:dyDescent="0.2">
      <c r="AA400" s="42"/>
      <c r="AB400" s="42"/>
    </row>
    <row r="401" spans="27:28" x14ac:dyDescent="0.2">
      <c r="AA401" s="42"/>
      <c r="AB401" s="42"/>
    </row>
    <row r="402" spans="27:28" x14ac:dyDescent="0.2">
      <c r="AA402" s="42"/>
      <c r="AB402" s="42"/>
    </row>
    <row r="403" spans="27:28" x14ac:dyDescent="0.2">
      <c r="AA403" s="42"/>
      <c r="AB403" s="42"/>
    </row>
    <row r="404" spans="27:28" x14ac:dyDescent="0.2">
      <c r="AA404" s="42"/>
      <c r="AB404" s="42"/>
    </row>
    <row r="405" spans="27:28" x14ac:dyDescent="0.2">
      <c r="AA405" s="42"/>
      <c r="AB405" s="42"/>
    </row>
    <row r="406" spans="27:28" x14ac:dyDescent="0.2">
      <c r="AA406" s="42"/>
      <c r="AB406" s="42"/>
    </row>
    <row r="407" spans="27:28" x14ac:dyDescent="0.2">
      <c r="AA407" s="42"/>
      <c r="AB407" s="42"/>
    </row>
    <row r="408" spans="27:28" x14ac:dyDescent="0.2">
      <c r="AA408" s="42"/>
      <c r="AB408" s="42"/>
    </row>
    <row r="409" spans="27:28" x14ac:dyDescent="0.2">
      <c r="AA409" s="42"/>
      <c r="AB409" s="42"/>
    </row>
    <row r="410" spans="27:28" x14ac:dyDescent="0.2">
      <c r="AA410" s="42"/>
      <c r="AB410" s="42"/>
    </row>
    <row r="411" spans="27:28" x14ac:dyDescent="0.2">
      <c r="AA411" s="42"/>
      <c r="AB411" s="42"/>
    </row>
    <row r="412" spans="27:28" x14ac:dyDescent="0.2">
      <c r="AA412" s="42"/>
      <c r="AB412" s="42"/>
    </row>
    <row r="413" spans="27:28" x14ac:dyDescent="0.2">
      <c r="AA413" s="42"/>
      <c r="AB413" s="42"/>
    </row>
    <row r="414" spans="27:28" x14ac:dyDescent="0.2">
      <c r="AA414" s="42"/>
      <c r="AB414" s="42"/>
    </row>
    <row r="415" spans="27:28" x14ac:dyDescent="0.2">
      <c r="AA415" s="42"/>
      <c r="AB415" s="42"/>
    </row>
    <row r="416" spans="27:28" x14ac:dyDescent="0.2">
      <c r="AA416" s="42"/>
      <c r="AB416" s="42"/>
    </row>
    <row r="417" spans="27:28" x14ac:dyDescent="0.2">
      <c r="AA417" s="42"/>
      <c r="AB417" s="42"/>
    </row>
    <row r="418" spans="27:28" x14ac:dyDescent="0.2">
      <c r="AA418" s="42"/>
      <c r="AB418" s="42"/>
    </row>
    <row r="419" spans="27:28" x14ac:dyDescent="0.2">
      <c r="AA419" s="42"/>
      <c r="AB419" s="42"/>
    </row>
    <row r="420" spans="27:28" x14ac:dyDescent="0.2">
      <c r="AA420" s="42"/>
      <c r="AB420" s="42"/>
    </row>
    <row r="421" spans="27:28" x14ac:dyDescent="0.2">
      <c r="AA421" s="42"/>
      <c r="AB421" s="42"/>
    </row>
    <row r="422" spans="27:28" x14ac:dyDescent="0.2">
      <c r="AA422" s="42"/>
      <c r="AB422" s="42"/>
    </row>
    <row r="423" spans="27:28" x14ac:dyDescent="0.2">
      <c r="AA423" s="42"/>
      <c r="AB423" s="42"/>
    </row>
    <row r="424" spans="27:28" x14ac:dyDescent="0.2">
      <c r="AA424" s="42"/>
      <c r="AB424" s="42"/>
    </row>
    <row r="425" spans="27:28" x14ac:dyDescent="0.2">
      <c r="AA425" s="42"/>
      <c r="AB425" s="42"/>
    </row>
    <row r="426" spans="27:28" x14ac:dyDescent="0.2">
      <c r="AA426" s="42"/>
      <c r="AB426" s="42"/>
    </row>
    <row r="427" spans="27:28" x14ac:dyDescent="0.2">
      <c r="AA427" s="42"/>
      <c r="AB427" s="42"/>
    </row>
    <row r="428" spans="27:28" x14ac:dyDescent="0.2">
      <c r="AA428" s="42"/>
      <c r="AB428" s="42"/>
    </row>
    <row r="429" spans="27:28" x14ac:dyDescent="0.2">
      <c r="AA429" s="42"/>
      <c r="AB429" s="42"/>
    </row>
    <row r="430" spans="27:28" x14ac:dyDescent="0.2">
      <c r="AA430" s="42"/>
      <c r="AB430" s="42"/>
    </row>
    <row r="431" spans="27:28" x14ac:dyDescent="0.2">
      <c r="AA431" s="42"/>
      <c r="AB431" s="42"/>
    </row>
    <row r="432" spans="27:28" x14ac:dyDescent="0.2">
      <c r="AA432" s="42"/>
      <c r="AB432" s="42"/>
    </row>
    <row r="433" spans="27:28" x14ac:dyDescent="0.2">
      <c r="AA433" s="42"/>
      <c r="AB433" s="42"/>
    </row>
    <row r="434" spans="27:28" x14ac:dyDescent="0.2">
      <c r="AA434" s="42"/>
      <c r="AB434" s="42"/>
    </row>
    <row r="435" spans="27:28" x14ac:dyDescent="0.2">
      <c r="AA435" s="42"/>
      <c r="AB435" s="42"/>
    </row>
    <row r="436" spans="27:28" x14ac:dyDescent="0.2">
      <c r="AA436" s="42"/>
      <c r="AB436" s="42"/>
    </row>
    <row r="437" spans="27:28" x14ac:dyDescent="0.2">
      <c r="AA437" s="42"/>
      <c r="AB437" s="42"/>
    </row>
    <row r="438" spans="27:28" x14ac:dyDescent="0.2">
      <c r="AA438" s="42"/>
      <c r="AB438" s="42"/>
    </row>
    <row r="439" spans="27:28" x14ac:dyDescent="0.2">
      <c r="AA439" s="42"/>
      <c r="AB439" s="42"/>
    </row>
    <row r="440" spans="27:28" x14ac:dyDescent="0.2">
      <c r="AA440" s="42"/>
      <c r="AB440" s="42"/>
    </row>
    <row r="441" spans="27:28" x14ac:dyDescent="0.2">
      <c r="AA441" s="42"/>
      <c r="AB441" s="42"/>
    </row>
    <row r="442" spans="27:28" x14ac:dyDescent="0.2">
      <c r="AA442" s="42"/>
      <c r="AB442" s="42"/>
    </row>
    <row r="443" spans="27:28" x14ac:dyDescent="0.2">
      <c r="AA443" s="42"/>
      <c r="AB443" s="42"/>
    </row>
    <row r="444" spans="27:28" x14ac:dyDescent="0.2">
      <c r="AA444" s="42"/>
      <c r="AB444" s="42"/>
    </row>
    <row r="445" spans="27:28" x14ac:dyDescent="0.2">
      <c r="AA445" s="42"/>
      <c r="AB445" s="42"/>
    </row>
    <row r="446" spans="27:28" x14ac:dyDescent="0.2">
      <c r="AA446" s="42"/>
      <c r="AB446" s="42"/>
    </row>
    <row r="447" spans="27:28" x14ac:dyDescent="0.2">
      <c r="AA447" s="42"/>
      <c r="AB447" s="42"/>
    </row>
    <row r="448" spans="27:28" x14ac:dyDescent="0.2">
      <c r="AA448" s="42"/>
      <c r="AB448" s="42"/>
    </row>
    <row r="449" spans="27:28" x14ac:dyDescent="0.2">
      <c r="AA449" s="42"/>
      <c r="AB449" s="42"/>
    </row>
    <row r="450" spans="27:28" x14ac:dyDescent="0.2">
      <c r="AA450" s="42"/>
      <c r="AB450" s="42"/>
    </row>
    <row r="451" spans="27:28" x14ac:dyDescent="0.2">
      <c r="AA451" s="42"/>
      <c r="AB451" s="42"/>
    </row>
    <row r="452" spans="27:28" x14ac:dyDescent="0.2">
      <c r="AA452" s="42"/>
      <c r="AB452" s="42"/>
    </row>
    <row r="453" spans="27:28" x14ac:dyDescent="0.2">
      <c r="AA453" s="42"/>
      <c r="AB453" s="42"/>
    </row>
    <row r="454" spans="27:28" x14ac:dyDescent="0.2">
      <c r="AA454" s="42"/>
      <c r="AB454" s="42"/>
    </row>
    <row r="455" spans="27:28" x14ac:dyDescent="0.2">
      <c r="AA455" s="42"/>
      <c r="AB455" s="42"/>
    </row>
    <row r="456" spans="27:28" x14ac:dyDescent="0.2">
      <c r="AA456" s="42"/>
      <c r="AB456" s="42"/>
    </row>
    <row r="457" spans="27:28" x14ac:dyDescent="0.2">
      <c r="AA457" s="42"/>
      <c r="AB457" s="42"/>
    </row>
    <row r="458" spans="27:28" x14ac:dyDescent="0.2">
      <c r="AA458" s="42"/>
      <c r="AB458" s="42"/>
    </row>
    <row r="459" spans="27:28" x14ac:dyDescent="0.2">
      <c r="AA459" s="42"/>
      <c r="AB459" s="42"/>
    </row>
    <row r="460" spans="27:28" x14ac:dyDescent="0.2">
      <c r="AA460" s="42"/>
      <c r="AB460" s="42"/>
    </row>
    <row r="461" spans="27:28" x14ac:dyDescent="0.2">
      <c r="AA461" s="42"/>
      <c r="AB461" s="42"/>
    </row>
    <row r="462" spans="27:28" x14ac:dyDescent="0.2">
      <c r="AA462" s="42"/>
      <c r="AB462" s="42"/>
    </row>
    <row r="463" spans="27:28" x14ac:dyDescent="0.2">
      <c r="AA463" s="42"/>
      <c r="AB463" s="42"/>
    </row>
    <row r="464" spans="27:28" x14ac:dyDescent="0.2">
      <c r="AA464" s="42"/>
      <c r="AB464" s="42"/>
    </row>
    <row r="465" spans="27:28" x14ac:dyDescent="0.2">
      <c r="AA465" s="42"/>
      <c r="AB465" s="42"/>
    </row>
    <row r="466" spans="27:28" x14ac:dyDescent="0.2">
      <c r="AA466" s="42"/>
      <c r="AB466" s="42"/>
    </row>
    <row r="467" spans="27:28" x14ac:dyDescent="0.2">
      <c r="AA467" s="42"/>
      <c r="AB467" s="42"/>
    </row>
    <row r="468" spans="27:28" x14ac:dyDescent="0.2">
      <c r="AA468" s="42"/>
      <c r="AB468" s="42"/>
    </row>
    <row r="469" spans="27:28" x14ac:dyDescent="0.2">
      <c r="AA469" s="42"/>
      <c r="AB469" s="42"/>
    </row>
    <row r="470" spans="27:28" x14ac:dyDescent="0.2">
      <c r="AA470" s="42"/>
      <c r="AB470" s="42"/>
    </row>
    <row r="471" spans="27:28" x14ac:dyDescent="0.2">
      <c r="AA471" s="42"/>
      <c r="AB471" s="42"/>
    </row>
    <row r="472" spans="27:28" x14ac:dyDescent="0.2">
      <c r="AA472" s="42"/>
      <c r="AB472" s="42"/>
    </row>
    <row r="473" spans="27:28" x14ac:dyDescent="0.2">
      <c r="AA473" s="42"/>
      <c r="AB473" s="42"/>
    </row>
    <row r="474" spans="27:28" x14ac:dyDescent="0.2">
      <c r="AA474" s="42"/>
      <c r="AB474" s="42"/>
    </row>
    <row r="475" spans="27:28" x14ac:dyDescent="0.2">
      <c r="AA475" s="42"/>
      <c r="AB475" s="42"/>
    </row>
    <row r="476" spans="27:28" x14ac:dyDescent="0.2">
      <c r="AA476" s="42"/>
      <c r="AB476" s="42"/>
    </row>
    <row r="477" spans="27:28" x14ac:dyDescent="0.2">
      <c r="AA477" s="42"/>
      <c r="AB477" s="42"/>
    </row>
    <row r="478" spans="27:28" x14ac:dyDescent="0.2">
      <c r="AA478" s="42"/>
      <c r="AB478" s="42"/>
    </row>
    <row r="479" spans="27:28" x14ac:dyDescent="0.2">
      <c r="AA479" s="42"/>
      <c r="AB479" s="42"/>
    </row>
    <row r="480" spans="27:28" x14ac:dyDescent="0.2">
      <c r="AA480" s="42"/>
      <c r="AB480" s="42"/>
    </row>
    <row r="481" spans="27:28" x14ac:dyDescent="0.2">
      <c r="AA481" s="42"/>
      <c r="AB481" s="42"/>
    </row>
    <row r="482" spans="27:28" x14ac:dyDescent="0.2">
      <c r="AA482" s="42"/>
      <c r="AB482" s="42"/>
    </row>
    <row r="483" spans="27:28" x14ac:dyDescent="0.2">
      <c r="AA483" s="42"/>
      <c r="AB483" s="42"/>
    </row>
    <row r="484" spans="27:28" x14ac:dyDescent="0.2">
      <c r="AA484" s="42"/>
      <c r="AB484" s="42"/>
    </row>
    <row r="485" spans="27:28" x14ac:dyDescent="0.2">
      <c r="AA485" s="42"/>
      <c r="AB485" s="42"/>
    </row>
    <row r="486" spans="27:28" x14ac:dyDescent="0.2">
      <c r="AA486" s="42"/>
      <c r="AB486" s="42"/>
    </row>
    <row r="487" spans="27:28" x14ac:dyDescent="0.2">
      <c r="AA487" s="42"/>
      <c r="AB487" s="42"/>
    </row>
    <row r="488" spans="27:28" x14ac:dyDescent="0.2">
      <c r="AA488" s="42"/>
      <c r="AB488" s="42"/>
    </row>
    <row r="489" spans="27:28" x14ac:dyDescent="0.2">
      <c r="AA489" s="42"/>
      <c r="AB489" s="42"/>
    </row>
    <row r="490" spans="27:28" x14ac:dyDescent="0.2">
      <c r="AA490" s="42"/>
      <c r="AB490" s="42"/>
    </row>
    <row r="491" spans="27:28" x14ac:dyDescent="0.2">
      <c r="AA491" s="42"/>
      <c r="AB491" s="42"/>
    </row>
    <row r="492" spans="27:28" x14ac:dyDescent="0.2">
      <c r="AA492" s="42"/>
      <c r="AB492" s="42"/>
    </row>
    <row r="493" spans="27:28" x14ac:dyDescent="0.2">
      <c r="AA493" s="42"/>
      <c r="AB493" s="42"/>
    </row>
    <row r="494" spans="27:28" x14ac:dyDescent="0.2">
      <c r="AA494" s="42"/>
      <c r="AB494" s="42"/>
    </row>
    <row r="495" spans="27:28" x14ac:dyDescent="0.2">
      <c r="AA495" s="42"/>
      <c r="AB495" s="42"/>
    </row>
    <row r="496" spans="27:28" x14ac:dyDescent="0.2">
      <c r="AA496" s="42"/>
      <c r="AB496" s="42"/>
    </row>
    <row r="497" spans="27:28" x14ac:dyDescent="0.2">
      <c r="AA497" s="42"/>
      <c r="AB497" s="42"/>
    </row>
    <row r="498" spans="27:28" x14ac:dyDescent="0.2">
      <c r="AA498" s="42"/>
      <c r="AB498" s="42"/>
    </row>
    <row r="499" spans="27:28" x14ac:dyDescent="0.2">
      <c r="AA499" s="42"/>
      <c r="AB499" s="42"/>
    </row>
    <row r="500" spans="27:28" x14ac:dyDescent="0.2">
      <c r="AA500" s="42"/>
      <c r="AB500" s="42"/>
    </row>
    <row r="501" spans="27:28" x14ac:dyDescent="0.2">
      <c r="AA501" s="42"/>
      <c r="AB501" s="42"/>
    </row>
    <row r="502" spans="27:28" x14ac:dyDescent="0.2">
      <c r="AA502" s="42"/>
      <c r="AB502" s="42"/>
    </row>
    <row r="503" spans="27:28" x14ac:dyDescent="0.2">
      <c r="AA503" s="42"/>
      <c r="AB503" s="42"/>
    </row>
    <row r="504" spans="27:28" x14ac:dyDescent="0.2">
      <c r="AA504" s="42"/>
      <c r="AB504" s="42"/>
    </row>
    <row r="505" spans="27:28" x14ac:dyDescent="0.2">
      <c r="AA505" s="42"/>
      <c r="AB505" s="42"/>
    </row>
    <row r="506" spans="27:28" x14ac:dyDescent="0.2">
      <c r="AA506" s="42"/>
      <c r="AB506" s="42"/>
    </row>
    <row r="507" spans="27:28" x14ac:dyDescent="0.2">
      <c r="AA507" s="42"/>
      <c r="AB507" s="42"/>
    </row>
    <row r="508" spans="27:28" x14ac:dyDescent="0.2">
      <c r="AA508" s="42"/>
      <c r="AB508" s="42"/>
    </row>
    <row r="509" spans="27:28" x14ac:dyDescent="0.2">
      <c r="AA509" s="42"/>
      <c r="AB509" s="42"/>
    </row>
    <row r="510" spans="27:28" x14ac:dyDescent="0.2">
      <c r="AA510" s="42"/>
      <c r="AB510" s="42"/>
    </row>
    <row r="511" spans="27:28" x14ac:dyDescent="0.2">
      <c r="AA511" s="42"/>
      <c r="AB511" s="42"/>
    </row>
    <row r="512" spans="27:28" x14ac:dyDescent="0.2">
      <c r="AA512" s="42"/>
      <c r="AB512" s="42"/>
    </row>
    <row r="513" spans="27:28" x14ac:dyDescent="0.2">
      <c r="AA513" s="42"/>
      <c r="AB513" s="42"/>
    </row>
    <row r="514" spans="27:28" x14ac:dyDescent="0.2">
      <c r="AA514" s="42"/>
      <c r="AB514" s="42"/>
    </row>
    <row r="515" spans="27:28" x14ac:dyDescent="0.2">
      <c r="AA515" s="42"/>
      <c r="AB515" s="42"/>
    </row>
    <row r="516" spans="27:28" x14ac:dyDescent="0.2">
      <c r="AA516" s="42"/>
      <c r="AB516" s="42"/>
    </row>
    <row r="517" spans="27:28" x14ac:dyDescent="0.2">
      <c r="AA517" s="42"/>
      <c r="AB517" s="42"/>
    </row>
    <row r="518" spans="27:28" x14ac:dyDescent="0.2">
      <c r="AA518" s="42"/>
      <c r="AB518" s="42"/>
    </row>
    <row r="519" spans="27:28" x14ac:dyDescent="0.2">
      <c r="AA519" s="42"/>
      <c r="AB519" s="42"/>
    </row>
    <row r="520" spans="27:28" x14ac:dyDescent="0.2">
      <c r="AA520" s="42"/>
      <c r="AB520" s="42"/>
    </row>
    <row r="521" spans="27:28" x14ac:dyDescent="0.2">
      <c r="AA521" s="42"/>
      <c r="AB521" s="42"/>
    </row>
    <row r="522" spans="27:28" x14ac:dyDescent="0.2">
      <c r="AA522" s="42"/>
      <c r="AB522" s="42"/>
    </row>
    <row r="523" spans="27:28" x14ac:dyDescent="0.2">
      <c r="AA523" s="42"/>
      <c r="AB523" s="42"/>
    </row>
    <row r="524" spans="27:28" x14ac:dyDescent="0.2">
      <c r="AA524" s="42"/>
      <c r="AB524" s="42"/>
    </row>
    <row r="525" spans="27:28" x14ac:dyDescent="0.2">
      <c r="AA525" s="42"/>
      <c r="AB525" s="42"/>
    </row>
    <row r="526" spans="27:28" x14ac:dyDescent="0.2">
      <c r="AA526" s="42"/>
      <c r="AB526" s="42"/>
    </row>
    <row r="527" spans="27:28" x14ac:dyDescent="0.2">
      <c r="AA527" s="42"/>
      <c r="AB527" s="42"/>
    </row>
    <row r="528" spans="27:28" x14ac:dyDescent="0.2">
      <c r="AA528" s="42"/>
      <c r="AB528" s="42"/>
    </row>
    <row r="529" spans="27:28" x14ac:dyDescent="0.2">
      <c r="AA529" s="42"/>
      <c r="AB529" s="42"/>
    </row>
    <row r="530" spans="27:28" x14ac:dyDescent="0.2">
      <c r="AA530" s="42"/>
      <c r="AB530" s="42"/>
    </row>
    <row r="531" spans="27:28" x14ac:dyDescent="0.2">
      <c r="AA531" s="42"/>
      <c r="AB531" s="42"/>
    </row>
    <row r="532" spans="27:28" x14ac:dyDescent="0.2">
      <c r="AA532" s="42"/>
      <c r="AB532" s="42"/>
    </row>
    <row r="533" spans="27:28" x14ac:dyDescent="0.2">
      <c r="AA533" s="42"/>
      <c r="AB533" s="42"/>
    </row>
    <row r="534" spans="27:28" x14ac:dyDescent="0.2">
      <c r="AA534" s="42"/>
      <c r="AB534" s="42"/>
    </row>
    <row r="535" spans="27:28" x14ac:dyDescent="0.2">
      <c r="AA535" s="42"/>
      <c r="AB535" s="42"/>
    </row>
    <row r="536" spans="27:28" x14ac:dyDescent="0.2">
      <c r="AA536" s="42"/>
      <c r="AB536" s="42"/>
    </row>
    <row r="537" spans="27:28" x14ac:dyDescent="0.2">
      <c r="AA537" s="42"/>
      <c r="AB537" s="42"/>
    </row>
    <row r="538" spans="27:28" x14ac:dyDescent="0.2">
      <c r="AA538" s="42"/>
      <c r="AB538" s="42"/>
    </row>
    <row r="539" spans="27:28" x14ac:dyDescent="0.2">
      <c r="AA539" s="42"/>
      <c r="AB539" s="42"/>
    </row>
    <row r="540" spans="27:28" x14ac:dyDescent="0.2">
      <c r="AA540" s="42"/>
      <c r="AB540" s="42"/>
    </row>
    <row r="541" spans="27:28" x14ac:dyDescent="0.2">
      <c r="AA541" s="42"/>
      <c r="AB541" s="42"/>
    </row>
    <row r="542" spans="27:28" x14ac:dyDescent="0.2">
      <c r="AA542" s="42"/>
      <c r="AB542" s="42"/>
    </row>
    <row r="543" spans="27:28" x14ac:dyDescent="0.2">
      <c r="AA543" s="42"/>
      <c r="AB543" s="42"/>
    </row>
    <row r="544" spans="27:28" x14ac:dyDescent="0.2">
      <c r="AA544" s="42"/>
      <c r="AB544" s="42"/>
    </row>
    <row r="545" spans="27:28" x14ac:dyDescent="0.2">
      <c r="AA545" s="42"/>
      <c r="AB545" s="42"/>
    </row>
    <row r="546" spans="27:28" x14ac:dyDescent="0.2">
      <c r="AA546" s="42"/>
      <c r="AB546" s="42"/>
    </row>
    <row r="547" spans="27:28" x14ac:dyDescent="0.2">
      <c r="AA547" s="42"/>
      <c r="AB547" s="42"/>
    </row>
    <row r="548" spans="27:28" x14ac:dyDescent="0.2">
      <c r="AA548" s="42"/>
      <c r="AB548" s="42"/>
    </row>
    <row r="549" spans="27:28" x14ac:dyDescent="0.2">
      <c r="AA549" s="42"/>
      <c r="AB549" s="42"/>
    </row>
    <row r="550" spans="27:28" x14ac:dyDescent="0.2">
      <c r="AA550" s="42"/>
      <c r="AB550" s="42"/>
    </row>
    <row r="551" spans="27:28" x14ac:dyDescent="0.2">
      <c r="AA551" s="42"/>
      <c r="AB551" s="42"/>
    </row>
    <row r="552" spans="27:28" x14ac:dyDescent="0.2">
      <c r="AA552" s="42"/>
      <c r="AB552" s="42"/>
    </row>
    <row r="553" spans="27:28" x14ac:dyDescent="0.2">
      <c r="AA553" s="42"/>
      <c r="AB553" s="42"/>
    </row>
    <row r="554" spans="27:28" x14ac:dyDescent="0.2">
      <c r="AA554" s="42"/>
      <c r="AB554" s="42"/>
    </row>
    <row r="555" spans="27:28" x14ac:dyDescent="0.2">
      <c r="AA555" s="42"/>
      <c r="AB555" s="42"/>
    </row>
    <row r="556" spans="27:28" x14ac:dyDescent="0.2">
      <c r="AA556" s="42"/>
      <c r="AB556" s="42"/>
    </row>
    <row r="557" spans="27:28" x14ac:dyDescent="0.2">
      <c r="AA557" s="42"/>
      <c r="AB557" s="42"/>
    </row>
    <row r="558" spans="27:28" x14ac:dyDescent="0.2">
      <c r="AA558" s="42"/>
      <c r="AB558" s="42"/>
    </row>
    <row r="559" spans="27:28" x14ac:dyDescent="0.2">
      <c r="AA559" s="42"/>
      <c r="AB559" s="42"/>
    </row>
    <row r="560" spans="27:28" x14ac:dyDescent="0.2">
      <c r="AA560" s="42"/>
      <c r="AB560" s="42"/>
    </row>
    <row r="561" spans="27:28" x14ac:dyDescent="0.2">
      <c r="AA561" s="42"/>
      <c r="AB561" s="42"/>
    </row>
    <row r="562" spans="27:28" x14ac:dyDescent="0.2">
      <c r="AA562" s="42"/>
      <c r="AB562" s="42"/>
    </row>
    <row r="563" spans="27:28" x14ac:dyDescent="0.2">
      <c r="AA563" s="42"/>
      <c r="AB563" s="42"/>
    </row>
    <row r="564" spans="27:28" x14ac:dyDescent="0.2">
      <c r="AA564" s="42"/>
      <c r="AB564" s="42"/>
    </row>
    <row r="565" spans="27:28" x14ac:dyDescent="0.2">
      <c r="AA565" s="42"/>
      <c r="AB565" s="42"/>
    </row>
    <row r="566" spans="27:28" x14ac:dyDescent="0.2">
      <c r="AA566" s="42"/>
      <c r="AB566" s="42"/>
    </row>
    <row r="567" spans="27:28" x14ac:dyDescent="0.2">
      <c r="AA567" s="42"/>
      <c r="AB567" s="42"/>
    </row>
    <row r="568" spans="27:28" x14ac:dyDescent="0.2">
      <c r="AA568" s="42"/>
      <c r="AB568" s="42"/>
    </row>
    <row r="569" spans="27:28" x14ac:dyDescent="0.2">
      <c r="AA569" s="42"/>
      <c r="AB569" s="42"/>
    </row>
    <row r="570" spans="27:28" x14ac:dyDescent="0.2">
      <c r="AA570" s="42"/>
      <c r="AB570" s="42"/>
    </row>
    <row r="571" spans="27:28" x14ac:dyDescent="0.2">
      <c r="AA571" s="42"/>
      <c r="AB571" s="42"/>
    </row>
    <row r="572" spans="27:28" x14ac:dyDescent="0.2">
      <c r="AA572" s="42"/>
      <c r="AB572" s="42"/>
    </row>
    <row r="573" spans="27:28" x14ac:dyDescent="0.2">
      <c r="AA573" s="42"/>
      <c r="AB573" s="42"/>
    </row>
    <row r="574" spans="27:28" x14ac:dyDescent="0.2">
      <c r="AA574" s="42"/>
      <c r="AB574" s="42"/>
    </row>
    <row r="575" spans="27:28" x14ac:dyDescent="0.2">
      <c r="AA575" s="42"/>
      <c r="AB575" s="42"/>
    </row>
    <row r="576" spans="27:28" x14ac:dyDescent="0.2">
      <c r="AA576" s="42"/>
      <c r="AB576" s="42"/>
    </row>
    <row r="577" spans="27:28" x14ac:dyDescent="0.2">
      <c r="AA577" s="42"/>
      <c r="AB577" s="42"/>
    </row>
    <row r="578" spans="27:28" x14ac:dyDescent="0.2">
      <c r="AA578" s="42"/>
      <c r="AB578" s="42"/>
    </row>
    <row r="579" spans="27:28" x14ac:dyDescent="0.2">
      <c r="AA579" s="42"/>
      <c r="AB579" s="42"/>
    </row>
    <row r="580" spans="27:28" x14ac:dyDescent="0.2">
      <c r="AA580" s="42"/>
      <c r="AB580" s="42"/>
    </row>
    <row r="581" spans="27:28" x14ac:dyDescent="0.2">
      <c r="AA581" s="42"/>
      <c r="AB581" s="42"/>
    </row>
    <row r="582" spans="27:28" x14ac:dyDescent="0.2">
      <c r="AA582" s="42"/>
      <c r="AB582" s="42"/>
    </row>
    <row r="583" spans="27:28" x14ac:dyDescent="0.2">
      <c r="AA583" s="42"/>
      <c r="AB583" s="42"/>
    </row>
    <row r="584" spans="27:28" x14ac:dyDescent="0.2">
      <c r="AA584" s="42"/>
      <c r="AB584" s="42"/>
    </row>
    <row r="585" spans="27:28" x14ac:dyDescent="0.2">
      <c r="AA585" s="42"/>
      <c r="AB585" s="42"/>
    </row>
    <row r="586" spans="27:28" x14ac:dyDescent="0.2">
      <c r="AA586" s="42"/>
      <c r="AB586" s="42"/>
    </row>
    <row r="587" spans="27:28" x14ac:dyDescent="0.2">
      <c r="AA587" s="42"/>
      <c r="AB587" s="42"/>
    </row>
    <row r="588" spans="27:28" x14ac:dyDescent="0.2">
      <c r="AA588" s="42"/>
      <c r="AB588" s="42"/>
    </row>
    <row r="589" spans="27:28" x14ac:dyDescent="0.2">
      <c r="AA589" s="42"/>
      <c r="AB589" s="42"/>
    </row>
    <row r="590" spans="27:28" x14ac:dyDescent="0.2">
      <c r="AA590" s="42"/>
      <c r="AB590" s="42"/>
    </row>
    <row r="591" spans="27:28" x14ac:dyDescent="0.2">
      <c r="AA591" s="42"/>
      <c r="AB591" s="42"/>
    </row>
    <row r="592" spans="27:28" x14ac:dyDescent="0.2">
      <c r="AA592" s="42"/>
      <c r="AB592" s="42"/>
    </row>
    <row r="593" spans="27:28" x14ac:dyDescent="0.2">
      <c r="AA593" s="42"/>
      <c r="AB593" s="42"/>
    </row>
    <row r="594" spans="27:28" x14ac:dyDescent="0.2">
      <c r="AA594" s="42"/>
      <c r="AB594" s="42"/>
    </row>
    <row r="595" spans="27:28" x14ac:dyDescent="0.2">
      <c r="AA595" s="42"/>
      <c r="AB595" s="42"/>
    </row>
    <row r="596" spans="27:28" x14ac:dyDescent="0.2">
      <c r="AA596" s="42"/>
      <c r="AB596" s="42"/>
    </row>
    <row r="597" spans="27:28" x14ac:dyDescent="0.2">
      <c r="AA597" s="42"/>
      <c r="AB597" s="42"/>
    </row>
    <row r="598" spans="27:28" x14ac:dyDescent="0.2">
      <c r="AA598" s="42"/>
      <c r="AB598" s="42"/>
    </row>
    <row r="599" spans="27:28" x14ac:dyDescent="0.2">
      <c r="AA599" s="42"/>
      <c r="AB599" s="42"/>
    </row>
    <row r="600" spans="27:28" x14ac:dyDescent="0.2">
      <c r="AA600" s="42"/>
      <c r="AB600" s="42"/>
    </row>
    <row r="601" spans="27:28" x14ac:dyDescent="0.2">
      <c r="AA601" s="42"/>
      <c r="AB601" s="42"/>
    </row>
    <row r="602" spans="27:28" x14ac:dyDescent="0.2">
      <c r="AA602" s="42"/>
      <c r="AB602" s="42"/>
    </row>
    <row r="603" spans="27:28" x14ac:dyDescent="0.2">
      <c r="AA603" s="42"/>
      <c r="AB603" s="42"/>
    </row>
    <row r="604" spans="27:28" x14ac:dyDescent="0.2">
      <c r="AA604" s="42"/>
      <c r="AB604" s="42"/>
    </row>
    <row r="605" spans="27:28" x14ac:dyDescent="0.2">
      <c r="AA605" s="42"/>
      <c r="AB605" s="42"/>
    </row>
    <row r="606" spans="27:28" x14ac:dyDescent="0.2">
      <c r="AA606" s="42"/>
      <c r="AB606" s="42"/>
    </row>
    <row r="607" spans="27:28" x14ac:dyDescent="0.2">
      <c r="AA607" s="42"/>
      <c r="AB607" s="42"/>
    </row>
    <row r="608" spans="27:28" x14ac:dyDescent="0.2">
      <c r="AA608" s="42"/>
      <c r="AB608" s="42"/>
    </row>
    <row r="609" spans="27:28" x14ac:dyDescent="0.2">
      <c r="AA609" s="42"/>
      <c r="AB609" s="42"/>
    </row>
    <row r="610" spans="27:28" x14ac:dyDescent="0.2">
      <c r="AA610" s="42"/>
      <c r="AB610" s="42"/>
    </row>
    <row r="611" spans="27:28" x14ac:dyDescent="0.2">
      <c r="AA611" s="42"/>
      <c r="AB611" s="42"/>
    </row>
    <row r="612" spans="27:28" x14ac:dyDescent="0.2">
      <c r="AA612" s="42"/>
      <c r="AB612" s="42"/>
    </row>
    <row r="613" spans="27:28" x14ac:dyDescent="0.2">
      <c r="AA613" s="42"/>
      <c r="AB613" s="42"/>
    </row>
    <row r="614" spans="27:28" x14ac:dyDescent="0.2">
      <c r="AA614" s="42"/>
      <c r="AB614" s="42"/>
    </row>
    <row r="615" spans="27:28" x14ac:dyDescent="0.2">
      <c r="AA615" s="42"/>
      <c r="AB615" s="42"/>
    </row>
    <row r="616" spans="27:28" x14ac:dyDescent="0.2">
      <c r="AA616" s="42"/>
      <c r="AB616" s="42"/>
    </row>
    <row r="617" spans="27:28" x14ac:dyDescent="0.2">
      <c r="AA617" s="42"/>
      <c r="AB617" s="42"/>
    </row>
    <row r="618" spans="27:28" x14ac:dyDescent="0.2">
      <c r="AA618" s="42"/>
      <c r="AB618" s="42"/>
    </row>
    <row r="619" spans="27:28" x14ac:dyDescent="0.2">
      <c r="AA619" s="42"/>
      <c r="AB619" s="42"/>
    </row>
    <row r="620" spans="27:28" x14ac:dyDescent="0.2">
      <c r="AA620" s="42"/>
      <c r="AB620" s="42"/>
    </row>
    <row r="621" spans="27:28" x14ac:dyDescent="0.2">
      <c r="AA621" s="42"/>
      <c r="AB621" s="42"/>
    </row>
    <row r="622" spans="27:28" x14ac:dyDescent="0.2">
      <c r="AA622" s="42"/>
      <c r="AB622" s="42"/>
    </row>
    <row r="623" spans="27:28" x14ac:dyDescent="0.2">
      <c r="AA623" s="42"/>
      <c r="AB623" s="42"/>
    </row>
    <row r="624" spans="27:28" x14ac:dyDescent="0.2">
      <c r="AA624" s="42"/>
      <c r="AB624" s="42"/>
    </row>
    <row r="625" spans="27:28" x14ac:dyDescent="0.2">
      <c r="AA625" s="42"/>
      <c r="AB625" s="42"/>
    </row>
    <row r="626" spans="27:28" x14ac:dyDescent="0.2">
      <c r="AA626" s="42"/>
      <c r="AB626" s="42"/>
    </row>
    <row r="627" spans="27:28" x14ac:dyDescent="0.2">
      <c r="AA627" s="42"/>
      <c r="AB627" s="42"/>
    </row>
    <row r="628" spans="27:28" x14ac:dyDescent="0.2">
      <c r="AA628" s="42"/>
      <c r="AB628" s="42"/>
    </row>
    <row r="629" spans="27:28" x14ac:dyDescent="0.2">
      <c r="AA629" s="42"/>
      <c r="AB629" s="42"/>
    </row>
    <row r="630" spans="27:28" x14ac:dyDescent="0.2">
      <c r="AA630" s="42"/>
      <c r="AB630" s="42"/>
    </row>
    <row r="631" spans="27:28" x14ac:dyDescent="0.2">
      <c r="AA631" s="42"/>
      <c r="AB631" s="42"/>
    </row>
    <row r="632" spans="27:28" x14ac:dyDescent="0.2">
      <c r="AA632" s="42"/>
      <c r="AB632" s="42"/>
    </row>
    <row r="633" spans="27:28" x14ac:dyDescent="0.2">
      <c r="AA633" s="42"/>
      <c r="AB633" s="42"/>
    </row>
    <row r="634" spans="27:28" x14ac:dyDescent="0.2">
      <c r="AA634" s="42"/>
      <c r="AB634" s="42"/>
    </row>
    <row r="635" spans="27:28" x14ac:dyDescent="0.2">
      <c r="AA635" s="42"/>
      <c r="AB635" s="42"/>
    </row>
    <row r="636" spans="27:28" x14ac:dyDescent="0.2">
      <c r="AA636" s="42"/>
      <c r="AB636" s="42"/>
    </row>
    <row r="637" spans="27:28" x14ac:dyDescent="0.2">
      <c r="AA637" s="42"/>
      <c r="AB637" s="42"/>
    </row>
    <row r="638" spans="27:28" x14ac:dyDescent="0.2">
      <c r="AA638" s="42"/>
      <c r="AB638" s="42"/>
    </row>
    <row r="639" spans="27:28" x14ac:dyDescent="0.2">
      <c r="AA639" s="42"/>
      <c r="AB639" s="42"/>
    </row>
    <row r="640" spans="27:28" x14ac:dyDescent="0.2">
      <c r="AA640" s="42"/>
      <c r="AB640" s="42"/>
    </row>
    <row r="641" spans="27:28" x14ac:dyDescent="0.2">
      <c r="AA641" s="42"/>
      <c r="AB641" s="42"/>
    </row>
    <row r="642" spans="27:28" x14ac:dyDescent="0.2">
      <c r="AA642" s="42"/>
      <c r="AB642" s="42"/>
    </row>
    <row r="643" spans="27:28" x14ac:dyDescent="0.2">
      <c r="AA643" s="42"/>
      <c r="AB643" s="42"/>
    </row>
    <row r="644" spans="27:28" x14ac:dyDescent="0.2">
      <c r="AA644" s="42"/>
      <c r="AB644" s="42"/>
    </row>
    <row r="645" spans="27:28" x14ac:dyDescent="0.2">
      <c r="AA645" s="42"/>
      <c r="AB645" s="42"/>
    </row>
    <row r="646" spans="27:28" x14ac:dyDescent="0.2">
      <c r="AA646" s="42"/>
      <c r="AB646" s="42"/>
    </row>
    <row r="647" spans="27:28" x14ac:dyDescent="0.2">
      <c r="AA647" s="42"/>
      <c r="AB647" s="42"/>
    </row>
    <row r="648" spans="27:28" x14ac:dyDescent="0.2">
      <c r="AA648" s="42"/>
      <c r="AB648" s="42"/>
    </row>
    <row r="649" spans="27:28" x14ac:dyDescent="0.2">
      <c r="AA649" s="42"/>
      <c r="AB649" s="42"/>
    </row>
    <row r="650" spans="27:28" x14ac:dyDescent="0.2">
      <c r="AA650" s="42"/>
      <c r="AB650" s="42"/>
    </row>
    <row r="651" spans="27:28" x14ac:dyDescent="0.2">
      <c r="AA651" s="42"/>
      <c r="AB651" s="42"/>
    </row>
    <row r="652" spans="27:28" x14ac:dyDescent="0.2">
      <c r="AA652" s="42"/>
      <c r="AB652" s="42"/>
    </row>
    <row r="653" spans="27:28" x14ac:dyDescent="0.2">
      <c r="AA653" s="42"/>
      <c r="AB653" s="42"/>
    </row>
    <row r="654" spans="27:28" x14ac:dyDescent="0.2">
      <c r="AA654" s="42"/>
      <c r="AB654" s="42"/>
    </row>
    <row r="655" spans="27:28" x14ac:dyDescent="0.2">
      <c r="AA655" s="42"/>
      <c r="AB655" s="42"/>
    </row>
    <row r="656" spans="27:28" x14ac:dyDescent="0.2">
      <c r="AA656" s="42"/>
      <c r="AB656" s="42"/>
    </row>
    <row r="657" spans="27:28" x14ac:dyDescent="0.2">
      <c r="AA657" s="42"/>
      <c r="AB657" s="42"/>
    </row>
    <row r="658" spans="27:28" x14ac:dyDescent="0.2">
      <c r="AA658" s="42"/>
      <c r="AB658" s="42"/>
    </row>
    <row r="659" spans="27:28" x14ac:dyDescent="0.2">
      <c r="AA659" s="42"/>
      <c r="AB659" s="42"/>
    </row>
    <row r="660" spans="27:28" x14ac:dyDescent="0.2">
      <c r="AA660" s="42"/>
      <c r="AB660" s="42"/>
    </row>
    <row r="661" spans="27:28" x14ac:dyDescent="0.2">
      <c r="AA661" s="42"/>
      <c r="AB661" s="42"/>
    </row>
    <row r="662" spans="27:28" x14ac:dyDescent="0.2">
      <c r="AA662" s="42"/>
      <c r="AB662" s="42"/>
    </row>
    <row r="663" spans="27:28" x14ac:dyDescent="0.2">
      <c r="AA663" s="42"/>
      <c r="AB663" s="42"/>
    </row>
    <row r="664" spans="27:28" x14ac:dyDescent="0.2">
      <c r="AA664" s="42"/>
      <c r="AB664" s="42"/>
    </row>
    <row r="665" spans="27:28" x14ac:dyDescent="0.2">
      <c r="AA665" s="42"/>
      <c r="AB665" s="42"/>
    </row>
    <row r="666" spans="27:28" x14ac:dyDescent="0.2">
      <c r="AA666" s="42"/>
      <c r="AB666" s="42"/>
    </row>
    <row r="667" spans="27:28" x14ac:dyDescent="0.2">
      <c r="AA667" s="42"/>
      <c r="AB667" s="42"/>
    </row>
    <row r="668" spans="27:28" x14ac:dyDescent="0.2">
      <c r="AA668" s="42"/>
      <c r="AB668" s="42"/>
    </row>
    <row r="669" spans="27:28" x14ac:dyDescent="0.2">
      <c r="AA669" s="42"/>
      <c r="AB669" s="42"/>
    </row>
    <row r="670" spans="27:28" x14ac:dyDescent="0.2">
      <c r="AA670" s="42"/>
      <c r="AB670" s="42"/>
    </row>
    <row r="671" spans="27:28" x14ac:dyDescent="0.2">
      <c r="AA671" s="42"/>
      <c r="AB671" s="42"/>
    </row>
    <row r="672" spans="27:28" x14ac:dyDescent="0.2">
      <c r="AA672" s="42"/>
      <c r="AB672" s="42"/>
    </row>
    <row r="673" spans="27:28" x14ac:dyDescent="0.2">
      <c r="AA673" s="42"/>
      <c r="AB673" s="42"/>
    </row>
    <row r="674" spans="27:28" x14ac:dyDescent="0.2">
      <c r="AA674" s="42"/>
      <c r="AB674" s="42"/>
    </row>
    <row r="675" spans="27:28" x14ac:dyDescent="0.2">
      <c r="AA675" s="42"/>
      <c r="AB675" s="42"/>
    </row>
    <row r="676" spans="27:28" x14ac:dyDescent="0.2">
      <c r="AA676" s="42"/>
      <c r="AB676" s="42"/>
    </row>
    <row r="677" spans="27:28" x14ac:dyDescent="0.2">
      <c r="AA677" s="42"/>
      <c r="AB677" s="42"/>
    </row>
    <row r="678" spans="27:28" x14ac:dyDescent="0.2">
      <c r="AA678" s="42"/>
      <c r="AB678" s="42"/>
    </row>
    <row r="679" spans="27:28" x14ac:dyDescent="0.2">
      <c r="AA679" s="42"/>
      <c r="AB679" s="42"/>
    </row>
    <row r="680" spans="27:28" x14ac:dyDescent="0.2">
      <c r="AA680" s="42"/>
      <c r="AB680" s="42"/>
    </row>
    <row r="681" spans="27:28" x14ac:dyDescent="0.2">
      <c r="AA681" s="42"/>
      <c r="AB681" s="42"/>
    </row>
    <row r="682" spans="27:28" x14ac:dyDescent="0.2">
      <c r="AA682" s="42"/>
      <c r="AB682" s="42"/>
    </row>
    <row r="683" spans="27:28" x14ac:dyDescent="0.2">
      <c r="AA683" s="42"/>
      <c r="AB683" s="42"/>
    </row>
    <row r="684" spans="27:28" x14ac:dyDescent="0.2">
      <c r="AA684" s="42"/>
      <c r="AB684" s="42"/>
    </row>
    <row r="685" spans="27:28" x14ac:dyDescent="0.2">
      <c r="AA685" s="42"/>
      <c r="AB685" s="42"/>
    </row>
    <row r="686" spans="27:28" x14ac:dyDescent="0.2">
      <c r="AA686" s="42"/>
      <c r="AB686" s="42"/>
    </row>
    <row r="687" spans="27:28" x14ac:dyDescent="0.2">
      <c r="AA687" s="42"/>
      <c r="AB687" s="42"/>
    </row>
    <row r="688" spans="27:28" x14ac:dyDescent="0.2">
      <c r="AA688" s="42"/>
      <c r="AB688" s="42"/>
    </row>
    <row r="689" spans="27:28" x14ac:dyDescent="0.2">
      <c r="AA689" s="42"/>
      <c r="AB689" s="42"/>
    </row>
    <row r="690" spans="27:28" x14ac:dyDescent="0.2">
      <c r="AA690" s="42"/>
      <c r="AB690" s="42"/>
    </row>
    <row r="691" spans="27:28" x14ac:dyDescent="0.2">
      <c r="AA691" s="42"/>
      <c r="AB691" s="42"/>
    </row>
    <row r="692" spans="27:28" x14ac:dyDescent="0.2">
      <c r="AA692" s="42"/>
      <c r="AB692" s="42"/>
    </row>
    <row r="693" spans="27:28" x14ac:dyDescent="0.2">
      <c r="AA693" s="42"/>
      <c r="AB693" s="42"/>
    </row>
    <row r="694" spans="27:28" x14ac:dyDescent="0.2">
      <c r="AA694" s="42"/>
      <c r="AB694" s="42"/>
    </row>
    <row r="695" spans="27:28" x14ac:dyDescent="0.2">
      <c r="AA695" s="42"/>
      <c r="AB695" s="42"/>
    </row>
    <row r="696" spans="27:28" x14ac:dyDescent="0.2">
      <c r="AA696" s="42"/>
      <c r="AB696" s="42"/>
    </row>
    <row r="697" spans="27:28" x14ac:dyDescent="0.2">
      <c r="AA697" s="42"/>
      <c r="AB697" s="42"/>
    </row>
    <row r="698" spans="27:28" x14ac:dyDescent="0.2">
      <c r="AA698" s="42"/>
      <c r="AB698" s="42"/>
    </row>
    <row r="699" spans="27:28" x14ac:dyDescent="0.2">
      <c r="AA699" s="42"/>
      <c r="AB699" s="42"/>
    </row>
    <row r="700" spans="27:28" x14ac:dyDescent="0.2">
      <c r="AA700" s="42"/>
      <c r="AB700" s="42"/>
    </row>
    <row r="701" spans="27:28" x14ac:dyDescent="0.2">
      <c r="AA701" s="42"/>
      <c r="AB701" s="42"/>
    </row>
    <row r="702" spans="27:28" x14ac:dyDescent="0.2">
      <c r="AA702" s="42"/>
      <c r="AB702" s="42"/>
    </row>
    <row r="703" spans="27:28" x14ac:dyDescent="0.2">
      <c r="AA703" s="42"/>
      <c r="AB703" s="42"/>
    </row>
    <row r="704" spans="27:28" x14ac:dyDescent="0.2">
      <c r="AA704" s="42"/>
      <c r="AB704" s="42"/>
    </row>
    <row r="705" spans="27:28" x14ac:dyDescent="0.2">
      <c r="AA705" s="42"/>
      <c r="AB705" s="42"/>
    </row>
    <row r="706" spans="27:28" x14ac:dyDescent="0.2">
      <c r="AA706" s="42"/>
      <c r="AB706" s="42"/>
    </row>
    <row r="707" spans="27:28" x14ac:dyDescent="0.2">
      <c r="AA707" s="42"/>
      <c r="AB707" s="42"/>
    </row>
    <row r="708" spans="27:28" x14ac:dyDescent="0.2">
      <c r="AA708" s="42"/>
      <c r="AB708" s="42"/>
    </row>
    <row r="709" spans="27:28" x14ac:dyDescent="0.2">
      <c r="AA709" s="42"/>
      <c r="AB709" s="42"/>
    </row>
    <row r="710" spans="27:28" x14ac:dyDescent="0.2">
      <c r="AA710" s="42"/>
      <c r="AB710" s="42"/>
    </row>
    <row r="711" spans="27:28" x14ac:dyDescent="0.2">
      <c r="AA711" s="42"/>
      <c r="AB711" s="42"/>
    </row>
    <row r="712" spans="27:28" x14ac:dyDescent="0.2">
      <c r="AA712" s="42"/>
      <c r="AB712" s="42"/>
    </row>
    <row r="713" spans="27:28" x14ac:dyDescent="0.2">
      <c r="AA713" s="42"/>
      <c r="AB713" s="42"/>
    </row>
    <row r="714" spans="27:28" x14ac:dyDescent="0.2">
      <c r="AA714" s="42"/>
      <c r="AB714" s="42"/>
    </row>
    <row r="715" spans="27:28" x14ac:dyDescent="0.2">
      <c r="AA715" s="42"/>
      <c r="AB715" s="42"/>
    </row>
    <row r="716" spans="27:28" x14ac:dyDescent="0.2">
      <c r="AA716" s="42"/>
      <c r="AB716" s="42"/>
    </row>
    <row r="717" spans="27:28" x14ac:dyDescent="0.2">
      <c r="AA717" s="42"/>
      <c r="AB717" s="42"/>
    </row>
    <row r="718" spans="27:28" x14ac:dyDescent="0.2">
      <c r="AA718" s="42"/>
      <c r="AB718" s="42"/>
    </row>
    <row r="719" spans="27:28" x14ac:dyDescent="0.2">
      <c r="AA719" s="42"/>
      <c r="AB719" s="42"/>
    </row>
    <row r="720" spans="27:28" x14ac:dyDescent="0.2">
      <c r="AA720" s="42"/>
      <c r="AB720" s="42"/>
    </row>
    <row r="721" spans="27:28" x14ac:dyDescent="0.2">
      <c r="AA721" s="42"/>
      <c r="AB721" s="42"/>
    </row>
    <row r="722" spans="27:28" x14ac:dyDescent="0.2">
      <c r="AA722" s="42"/>
      <c r="AB722" s="42"/>
    </row>
    <row r="723" spans="27:28" x14ac:dyDescent="0.2">
      <c r="AA723" s="42"/>
      <c r="AB723" s="42"/>
    </row>
    <row r="724" spans="27:28" x14ac:dyDescent="0.2">
      <c r="AA724" s="42"/>
      <c r="AB724" s="42"/>
    </row>
    <row r="725" spans="27:28" x14ac:dyDescent="0.2">
      <c r="AA725" s="42"/>
      <c r="AB725" s="42"/>
    </row>
    <row r="726" spans="27:28" x14ac:dyDescent="0.2">
      <c r="AA726" s="42"/>
      <c r="AB726" s="42"/>
    </row>
    <row r="727" spans="27:28" x14ac:dyDescent="0.2">
      <c r="AA727" s="42"/>
      <c r="AB727" s="42"/>
    </row>
    <row r="728" spans="27:28" x14ac:dyDescent="0.2">
      <c r="AA728" s="42"/>
      <c r="AB728" s="42"/>
    </row>
    <row r="729" spans="27:28" x14ac:dyDescent="0.2">
      <c r="AA729" s="42"/>
      <c r="AB729" s="42"/>
    </row>
    <row r="730" spans="27:28" x14ac:dyDescent="0.2">
      <c r="AA730" s="42"/>
      <c r="AB730" s="42"/>
    </row>
    <row r="731" spans="27:28" x14ac:dyDescent="0.2">
      <c r="AA731" s="42"/>
      <c r="AB731" s="42"/>
    </row>
    <row r="732" spans="27:28" x14ac:dyDescent="0.2">
      <c r="AA732" s="42"/>
      <c r="AB732" s="42"/>
    </row>
    <row r="733" spans="27:28" x14ac:dyDescent="0.2">
      <c r="AA733" s="42"/>
      <c r="AB733" s="42"/>
    </row>
    <row r="734" spans="27:28" x14ac:dyDescent="0.2">
      <c r="AA734" s="42"/>
      <c r="AB734" s="42"/>
    </row>
    <row r="735" spans="27:28" x14ac:dyDescent="0.2">
      <c r="AA735" s="42"/>
      <c r="AB735" s="42"/>
    </row>
    <row r="736" spans="27:28" x14ac:dyDescent="0.2">
      <c r="AA736" s="42"/>
      <c r="AB736" s="42"/>
    </row>
    <row r="737" spans="27:28" x14ac:dyDescent="0.2">
      <c r="AA737" s="42"/>
      <c r="AB737" s="42"/>
    </row>
    <row r="738" spans="27:28" x14ac:dyDescent="0.2">
      <c r="AA738" s="42"/>
      <c r="AB738" s="42"/>
    </row>
    <row r="739" spans="27:28" x14ac:dyDescent="0.2">
      <c r="AA739" s="42"/>
      <c r="AB739" s="42"/>
    </row>
    <row r="740" spans="27:28" x14ac:dyDescent="0.2">
      <c r="AA740" s="42"/>
      <c r="AB740" s="42"/>
    </row>
    <row r="741" spans="27:28" x14ac:dyDescent="0.2">
      <c r="AA741" s="42"/>
      <c r="AB741" s="42"/>
    </row>
    <row r="742" spans="27:28" x14ac:dyDescent="0.2">
      <c r="AA742" s="42"/>
      <c r="AB742" s="42"/>
    </row>
    <row r="743" spans="27:28" x14ac:dyDescent="0.2">
      <c r="AA743" s="42"/>
      <c r="AB743" s="42"/>
    </row>
    <row r="744" spans="27:28" x14ac:dyDescent="0.2">
      <c r="AA744" s="42"/>
      <c r="AB744" s="42"/>
    </row>
    <row r="745" spans="27:28" x14ac:dyDescent="0.2">
      <c r="AA745" s="42"/>
      <c r="AB745" s="42"/>
    </row>
    <row r="746" spans="27:28" x14ac:dyDescent="0.2">
      <c r="AA746" s="42"/>
      <c r="AB746" s="42"/>
    </row>
    <row r="747" spans="27:28" x14ac:dyDescent="0.2">
      <c r="AA747" s="42"/>
      <c r="AB747" s="42"/>
    </row>
    <row r="748" spans="27:28" x14ac:dyDescent="0.2">
      <c r="AA748" s="42"/>
      <c r="AB748" s="42"/>
    </row>
    <row r="749" spans="27:28" x14ac:dyDescent="0.2">
      <c r="AA749" s="42"/>
      <c r="AB749" s="42"/>
    </row>
    <row r="750" spans="27:28" x14ac:dyDescent="0.2">
      <c r="AA750" s="42"/>
      <c r="AB750" s="42"/>
    </row>
    <row r="751" spans="27:28" x14ac:dyDescent="0.2">
      <c r="AA751" s="42"/>
      <c r="AB751" s="42"/>
    </row>
    <row r="752" spans="27:28" x14ac:dyDescent="0.2">
      <c r="AA752" s="42"/>
      <c r="AB752" s="42"/>
    </row>
    <row r="753" spans="27:28" x14ac:dyDescent="0.2">
      <c r="AA753" s="42"/>
      <c r="AB753" s="42"/>
    </row>
    <row r="754" spans="27:28" x14ac:dyDescent="0.2">
      <c r="AA754" s="42"/>
      <c r="AB754" s="42"/>
    </row>
    <row r="755" spans="27:28" x14ac:dyDescent="0.2">
      <c r="AA755" s="42"/>
      <c r="AB755" s="42"/>
    </row>
    <row r="756" spans="27:28" x14ac:dyDescent="0.2">
      <c r="AA756" s="42"/>
      <c r="AB756" s="42"/>
    </row>
    <row r="757" spans="27:28" x14ac:dyDescent="0.2">
      <c r="AA757" s="42"/>
      <c r="AB757" s="42"/>
    </row>
    <row r="758" spans="27:28" x14ac:dyDescent="0.2">
      <c r="AA758" s="42"/>
      <c r="AB758" s="42"/>
    </row>
    <row r="759" spans="27:28" x14ac:dyDescent="0.2">
      <c r="AA759" s="42"/>
      <c r="AB759" s="42"/>
    </row>
    <row r="760" spans="27:28" x14ac:dyDescent="0.2">
      <c r="AA760" s="42"/>
      <c r="AB760" s="42"/>
    </row>
    <row r="761" spans="27:28" x14ac:dyDescent="0.2">
      <c r="AA761" s="42"/>
      <c r="AB761" s="42"/>
    </row>
    <row r="762" spans="27:28" x14ac:dyDescent="0.2">
      <c r="AA762" s="42"/>
      <c r="AB762" s="42"/>
    </row>
    <row r="763" spans="27:28" x14ac:dyDescent="0.2">
      <c r="AA763" s="42"/>
      <c r="AB763" s="42"/>
    </row>
    <row r="764" spans="27:28" x14ac:dyDescent="0.2">
      <c r="AA764" s="42"/>
      <c r="AB764" s="42"/>
    </row>
    <row r="765" spans="27:28" x14ac:dyDescent="0.2">
      <c r="AA765" s="42"/>
      <c r="AB765" s="42"/>
    </row>
    <row r="766" spans="27:28" x14ac:dyDescent="0.2">
      <c r="AA766" s="42"/>
      <c r="AB766" s="42"/>
    </row>
    <row r="767" spans="27:28" x14ac:dyDescent="0.2">
      <c r="AA767" s="42"/>
      <c r="AB767" s="42"/>
    </row>
    <row r="768" spans="27:28" x14ac:dyDescent="0.2">
      <c r="AA768" s="42"/>
      <c r="AB768" s="42"/>
    </row>
    <row r="769" spans="27:28" x14ac:dyDescent="0.2">
      <c r="AA769" s="42"/>
      <c r="AB769" s="42"/>
    </row>
    <row r="770" spans="27:28" x14ac:dyDescent="0.2">
      <c r="AA770" s="42"/>
      <c r="AB770" s="42"/>
    </row>
    <row r="771" spans="27:28" x14ac:dyDescent="0.2">
      <c r="AA771" s="42"/>
      <c r="AB771" s="42"/>
    </row>
    <row r="772" spans="27:28" x14ac:dyDescent="0.2">
      <c r="AA772" s="42"/>
      <c r="AB772" s="42"/>
    </row>
    <row r="773" spans="27:28" x14ac:dyDescent="0.2">
      <c r="AA773" s="42"/>
      <c r="AB773" s="42"/>
    </row>
    <row r="774" spans="27:28" x14ac:dyDescent="0.2">
      <c r="AA774" s="42"/>
      <c r="AB774" s="42"/>
    </row>
    <row r="775" spans="27:28" x14ac:dyDescent="0.2">
      <c r="AA775" s="42"/>
      <c r="AB775" s="42"/>
    </row>
    <row r="776" spans="27:28" x14ac:dyDescent="0.2">
      <c r="AA776" s="42"/>
      <c r="AB776" s="42"/>
    </row>
    <row r="777" spans="27:28" x14ac:dyDescent="0.2">
      <c r="AA777" s="42"/>
      <c r="AB777" s="42"/>
    </row>
    <row r="778" spans="27:28" x14ac:dyDescent="0.2">
      <c r="AA778" s="42"/>
      <c r="AB778" s="42"/>
    </row>
    <row r="779" spans="27:28" x14ac:dyDescent="0.2">
      <c r="AA779" s="42"/>
      <c r="AB779" s="42"/>
    </row>
    <row r="780" spans="27:28" x14ac:dyDescent="0.2">
      <c r="AA780" s="42"/>
      <c r="AB780" s="42"/>
    </row>
    <row r="781" spans="27:28" x14ac:dyDescent="0.2">
      <c r="AA781" s="42"/>
      <c r="AB781" s="42"/>
    </row>
    <row r="782" spans="27:28" x14ac:dyDescent="0.2">
      <c r="AA782" s="42"/>
      <c r="AB782" s="42"/>
    </row>
    <row r="783" spans="27:28" x14ac:dyDescent="0.2">
      <c r="AA783" s="42"/>
      <c r="AB783" s="42"/>
    </row>
    <row r="784" spans="27:28" x14ac:dyDescent="0.2">
      <c r="AA784" s="42"/>
      <c r="AB784" s="42"/>
    </row>
    <row r="785" spans="27:28" x14ac:dyDescent="0.2">
      <c r="AA785" s="42"/>
      <c r="AB785" s="42"/>
    </row>
    <row r="786" spans="27:28" x14ac:dyDescent="0.2">
      <c r="AA786" s="42"/>
      <c r="AB786" s="42"/>
    </row>
    <row r="787" spans="27:28" x14ac:dyDescent="0.2">
      <c r="AA787" s="42"/>
      <c r="AB787" s="42"/>
    </row>
    <row r="788" spans="27:28" x14ac:dyDescent="0.2">
      <c r="AA788" s="42"/>
      <c r="AB788" s="42"/>
    </row>
    <row r="789" spans="27:28" x14ac:dyDescent="0.2">
      <c r="AA789" s="42"/>
      <c r="AB789" s="42"/>
    </row>
    <row r="790" spans="27:28" x14ac:dyDescent="0.2">
      <c r="AA790" s="42"/>
      <c r="AB790" s="42"/>
    </row>
    <row r="791" spans="27:28" x14ac:dyDescent="0.2">
      <c r="AA791" s="42"/>
      <c r="AB791" s="42"/>
    </row>
    <row r="792" spans="27:28" x14ac:dyDescent="0.2">
      <c r="AA792" s="42"/>
      <c r="AB792" s="42"/>
    </row>
    <row r="793" spans="27:28" x14ac:dyDescent="0.2">
      <c r="AA793" s="42"/>
      <c r="AB793" s="42"/>
    </row>
    <row r="794" spans="27:28" x14ac:dyDescent="0.2">
      <c r="AA794" s="42"/>
      <c r="AB794" s="42"/>
    </row>
    <row r="795" spans="27:28" x14ac:dyDescent="0.2">
      <c r="AA795" s="42"/>
      <c r="AB795" s="42"/>
    </row>
    <row r="796" spans="27:28" x14ac:dyDescent="0.2">
      <c r="AA796" s="42"/>
      <c r="AB796" s="42"/>
    </row>
    <row r="797" spans="27:28" x14ac:dyDescent="0.2">
      <c r="AA797" s="42"/>
      <c r="AB797" s="42"/>
    </row>
    <row r="798" spans="27:28" x14ac:dyDescent="0.2">
      <c r="AA798" s="42"/>
      <c r="AB798" s="42"/>
    </row>
    <row r="799" spans="27:28" x14ac:dyDescent="0.2">
      <c r="AA799" s="42"/>
      <c r="AB799" s="42"/>
    </row>
    <row r="800" spans="27:28" x14ac:dyDescent="0.2">
      <c r="AA800" s="42"/>
      <c r="AB800" s="42"/>
    </row>
    <row r="801" spans="27:28" x14ac:dyDescent="0.2">
      <c r="AA801" s="42"/>
      <c r="AB801" s="42"/>
    </row>
    <row r="802" spans="27:28" x14ac:dyDescent="0.2">
      <c r="AA802" s="42"/>
      <c r="AB802" s="42"/>
    </row>
    <row r="803" spans="27:28" x14ac:dyDescent="0.2">
      <c r="AA803" s="42"/>
      <c r="AB803" s="42"/>
    </row>
    <row r="804" spans="27:28" x14ac:dyDescent="0.2">
      <c r="AA804" s="42"/>
      <c r="AB804" s="42"/>
    </row>
    <row r="805" spans="27:28" x14ac:dyDescent="0.2">
      <c r="AA805" s="42"/>
      <c r="AB805" s="42"/>
    </row>
    <row r="806" spans="27:28" x14ac:dyDescent="0.2">
      <c r="AA806" s="42"/>
      <c r="AB806" s="42"/>
    </row>
    <row r="807" spans="27:28" x14ac:dyDescent="0.2">
      <c r="AA807" s="42"/>
      <c r="AB807" s="42"/>
    </row>
    <row r="808" spans="27:28" x14ac:dyDescent="0.2">
      <c r="AA808" s="42"/>
      <c r="AB808" s="42"/>
    </row>
    <row r="809" spans="27:28" x14ac:dyDescent="0.2">
      <c r="AA809" s="42"/>
      <c r="AB809" s="42"/>
    </row>
    <row r="810" spans="27:28" x14ac:dyDescent="0.2">
      <c r="AA810" s="42"/>
      <c r="AB810" s="42"/>
    </row>
    <row r="811" spans="27:28" x14ac:dyDescent="0.2">
      <c r="AA811" s="42"/>
      <c r="AB811" s="42"/>
    </row>
    <row r="812" spans="27:28" x14ac:dyDescent="0.2">
      <c r="AA812" s="42"/>
      <c r="AB812" s="42"/>
    </row>
    <row r="813" spans="27:28" x14ac:dyDescent="0.2">
      <c r="AA813" s="42"/>
      <c r="AB813" s="42"/>
    </row>
    <row r="814" spans="27:28" x14ac:dyDescent="0.2">
      <c r="AA814" s="42"/>
      <c r="AB814" s="42"/>
    </row>
    <row r="815" spans="27:28" x14ac:dyDescent="0.2">
      <c r="AA815" s="42"/>
      <c r="AB815" s="42"/>
    </row>
    <row r="816" spans="27:28" x14ac:dyDescent="0.2">
      <c r="AA816" s="42"/>
      <c r="AB816" s="42"/>
    </row>
    <row r="817" spans="27:28" x14ac:dyDescent="0.2">
      <c r="AA817" s="42"/>
      <c r="AB817" s="42"/>
    </row>
    <row r="818" spans="27:28" x14ac:dyDescent="0.2">
      <c r="AA818" s="42"/>
      <c r="AB818" s="42"/>
    </row>
    <row r="819" spans="27:28" x14ac:dyDescent="0.2">
      <c r="AA819" s="42"/>
      <c r="AB819" s="42"/>
    </row>
    <row r="820" spans="27:28" x14ac:dyDescent="0.2">
      <c r="AA820" s="42"/>
      <c r="AB820" s="42"/>
    </row>
    <row r="821" spans="27:28" x14ac:dyDescent="0.2">
      <c r="AA821" s="42"/>
      <c r="AB821" s="42"/>
    </row>
    <row r="822" spans="27:28" x14ac:dyDescent="0.2">
      <c r="AA822" s="42"/>
      <c r="AB822" s="42"/>
    </row>
    <row r="823" spans="27:28" x14ac:dyDescent="0.2">
      <c r="AA823" s="42"/>
      <c r="AB823" s="42"/>
    </row>
    <row r="824" spans="27:28" x14ac:dyDescent="0.2">
      <c r="AA824" s="42"/>
      <c r="AB824" s="42"/>
    </row>
    <row r="825" spans="27:28" x14ac:dyDescent="0.2">
      <c r="AA825" s="42"/>
      <c r="AB825" s="42"/>
    </row>
    <row r="826" spans="27:28" x14ac:dyDescent="0.2">
      <c r="AA826" s="42"/>
      <c r="AB826" s="42"/>
    </row>
    <row r="827" spans="27:28" x14ac:dyDescent="0.2">
      <c r="AA827" s="42"/>
      <c r="AB827" s="42"/>
    </row>
    <row r="828" spans="27:28" x14ac:dyDescent="0.2">
      <c r="AA828" s="42"/>
      <c r="AB828" s="42"/>
    </row>
    <row r="829" spans="27:28" x14ac:dyDescent="0.2">
      <c r="AA829" s="42"/>
      <c r="AB829" s="42"/>
    </row>
    <row r="830" spans="27:28" x14ac:dyDescent="0.2">
      <c r="AA830" s="42"/>
      <c r="AB830" s="42"/>
    </row>
    <row r="831" spans="27:28" x14ac:dyDescent="0.2">
      <c r="AA831" s="42"/>
      <c r="AB831" s="42"/>
    </row>
    <row r="832" spans="27:28" x14ac:dyDescent="0.2">
      <c r="AA832" s="42"/>
      <c r="AB832" s="42"/>
    </row>
    <row r="833" spans="27:28" x14ac:dyDescent="0.2">
      <c r="AA833" s="42"/>
      <c r="AB833" s="42"/>
    </row>
    <row r="834" spans="27:28" x14ac:dyDescent="0.2">
      <c r="AA834" s="42"/>
      <c r="AB834" s="42"/>
    </row>
    <row r="835" spans="27:28" x14ac:dyDescent="0.2">
      <c r="AA835" s="42"/>
      <c r="AB835" s="42"/>
    </row>
    <row r="836" spans="27:28" x14ac:dyDescent="0.2">
      <c r="AA836" s="42"/>
      <c r="AB836" s="42"/>
    </row>
    <row r="837" spans="27:28" x14ac:dyDescent="0.2">
      <c r="AA837" s="42"/>
      <c r="AB837" s="42"/>
    </row>
    <row r="838" spans="27:28" x14ac:dyDescent="0.2">
      <c r="AA838" s="42"/>
      <c r="AB838" s="42"/>
    </row>
    <row r="839" spans="27:28" x14ac:dyDescent="0.2">
      <c r="AA839" s="42"/>
      <c r="AB839" s="42"/>
    </row>
    <row r="840" spans="27:28" x14ac:dyDescent="0.2">
      <c r="AA840" s="42"/>
      <c r="AB840" s="42"/>
    </row>
    <row r="841" spans="27:28" x14ac:dyDescent="0.2">
      <c r="AA841" s="42"/>
      <c r="AB841" s="42"/>
    </row>
    <row r="842" spans="27:28" x14ac:dyDescent="0.2">
      <c r="AA842" s="42"/>
      <c r="AB842" s="42"/>
    </row>
    <row r="843" spans="27:28" x14ac:dyDescent="0.2">
      <c r="AA843" s="42"/>
      <c r="AB843" s="42"/>
    </row>
    <row r="844" spans="27:28" x14ac:dyDescent="0.2">
      <c r="AA844" s="42"/>
      <c r="AB844" s="42"/>
    </row>
    <row r="845" spans="27:28" x14ac:dyDescent="0.2">
      <c r="AA845" s="42"/>
      <c r="AB845" s="42"/>
    </row>
    <row r="846" spans="27:28" x14ac:dyDescent="0.2">
      <c r="AA846" s="42"/>
      <c r="AB846" s="42"/>
    </row>
    <row r="847" spans="27:28" x14ac:dyDescent="0.2">
      <c r="AA847" s="42"/>
      <c r="AB847" s="42"/>
    </row>
    <row r="848" spans="27:28" x14ac:dyDescent="0.2">
      <c r="AA848" s="42"/>
      <c r="AB848" s="42"/>
    </row>
    <row r="849" spans="27:28" x14ac:dyDescent="0.2">
      <c r="AA849" s="42"/>
      <c r="AB849" s="42"/>
    </row>
    <row r="850" spans="27:28" x14ac:dyDescent="0.2">
      <c r="AA850" s="42"/>
      <c r="AB850" s="42"/>
    </row>
    <row r="851" spans="27:28" x14ac:dyDescent="0.2">
      <c r="AA851" s="42"/>
      <c r="AB851" s="42"/>
    </row>
    <row r="852" spans="27:28" x14ac:dyDescent="0.2">
      <c r="AA852" s="42"/>
      <c r="AB852" s="42"/>
    </row>
    <row r="853" spans="27:28" x14ac:dyDescent="0.2">
      <c r="AA853" s="42"/>
      <c r="AB853" s="42"/>
    </row>
    <row r="854" spans="27:28" x14ac:dyDescent="0.2">
      <c r="AA854" s="42"/>
      <c r="AB854" s="42"/>
    </row>
    <row r="855" spans="27:28" x14ac:dyDescent="0.2">
      <c r="AA855" s="42"/>
      <c r="AB855" s="42"/>
    </row>
    <row r="856" spans="27:28" x14ac:dyDescent="0.2">
      <c r="AA856" s="42"/>
      <c r="AB856" s="42"/>
    </row>
    <row r="857" spans="27:28" x14ac:dyDescent="0.2">
      <c r="AA857" s="42"/>
      <c r="AB857" s="42"/>
    </row>
    <row r="858" spans="27:28" x14ac:dyDescent="0.2">
      <c r="AA858" s="42"/>
      <c r="AB858" s="42"/>
    </row>
    <row r="859" spans="27:28" x14ac:dyDescent="0.2">
      <c r="AA859" s="42"/>
      <c r="AB859" s="42"/>
    </row>
    <row r="860" spans="27:28" x14ac:dyDescent="0.2">
      <c r="AA860" s="42"/>
      <c r="AB860" s="42"/>
    </row>
    <row r="861" spans="27:28" x14ac:dyDescent="0.2">
      <c r="AA861" s="42"/>
      <c r="AB861" s="42"/>
    </row>
    <row r="862" spans="27:28" x14ac:dyDescent="0.2">
      <c r="AA862" s="42"/>
      <c r="AB862" s="42"/>
    </row>
    <row r="863" spans="27:28" x14ac:dyDescent="0.2">
      <c r="AA863" s="42"/>
      <c r="AB863" s="42"/>
    </row>
    <row r="864" spans="27:28" x14ac:dyDescent="0.2">
      <c r="AA864" s="42"/>
      <c r="AB864" s="42"/>
    </row>
    <row r="865" spans="27:28" x14ac:dyDescent="0.2">
      <c r="AA865" s="42"/>
      <c r="AB865" s="42"/>
    </row>
    <row r="866" spans="27:28" x14ac:dyDescent="0.2">
      <c r="AA866" s="42"/>
      <c r="AB866" s="42"/>
    </row>
    <row r="867" spans="27:28" x14ac:dyDescent="0.2">
      <c r="AA867" s="42"/>
      <c r="AB867" s="42"/>
    </row>
    <row r="868" spans="27:28" x14ac:dyDescent="0.2">
      <c r="AA868" s="42"/>
      <c r="AB868" s="42"/>
    </row>
    <row r="869" spans="27:28" x14ac:dyDescent="0.2">
      <c r="AA869" s="42"/>
      <c r="AB869" s="42"/>
    </row>
    <row r="870" spans="27:28" x14ac:dyDescent="0.2">
      <c r="AA870" s="42"/>
      <c r="AB870" s="42"/>
    </row>
    <row r="871" spans="27:28" x14ac:dyDescent="0.2">
      <c r="AA871" s="42"/>
      <c r="AB871" s="42"/>
    </row>
    <row r="872" spans="27:28" x14ac:dyDescent="0.2">
      <c r="AA872" s="42"/>
      <c r="AB872" s="42"/>
    </row>
    <row r="873" spans="27:28" x14ac:dyDescent="0.2">
      <c r="AA873" s="42"/>
      <c r="AB873" s="42"/>
    </row>
    <row r="874" spans="27:28" x14ac:dyDescent="0.2">
      <c r="AA874" s="42"/>
      <c r="AB874" s="42"/>
    </row>
    <row r="875" spans="27:28" x14ac:dyDescent="0.2">
      <c r="AA875" s="42"/>
      <c r="AB875" s="42"/>
    </row>
    <row r="876" spans="27:28" x14ac:dyDescent="0.2">
      <c r="AA876" s="42"/>
      <c r="AB876" s="42"/>
    </row>
    <row r="877" spans="27:28" x14ac:dyDescent="0.2">
      <c r="AA877" s="42"/>
      <c r="AB877" s="42"/>
    </row>
    <row r="878" spans="27:28" x14ac:dyDescent="0.2">
      <c r="AA878" s="42"/>
      <c r="AB878" s="42"/>
    </row>
    <row r="879" spans="27:28" x14ac:dyDescent="0.2">
      <c r="AA879" s="42"/>
      <c r="AB879" s="42"/>
    </row>
    <row r="880" spans="27:28" x14ac:dyDescent="0.2">
      <c r="AA880" s="42"/>
      <c r="AB880" s="42"/>
    </row>
    <row r="881" spans="27:28" x14ac:dyDescent="0.2">
      <c r="AA881" s="42"/>
      <c r="AB881" s="42"/>
    </row>
    <row r="882" spans="27:28" x14ac:dyDescent="0.2">
      <c r="AA882" s="42"/>
      <c r="AB882" s="42"/>
    </row>
    <row r="883" spans="27:28" x14ac:dyDescent="0.2">
      <c r="AA883" s="42"/>
      <c r="AB883" s="42"/>
    </row>
    <row r="884" spans="27:28" x14ac:dyDescent="0.2">
      <c r="AA884" s="42"/>
      <c r="AB884" s="42"/>
    </row>
    <row r="885" spans="27:28" x14ac:dyDescent="0.2">
      <c r="AA885" s="42"/>
      <c r="AB885" s="42"/>
    </row>
    <row r="886" spans="27:28" x14ac:dyDescent="0.2">
      <c r="AA886" s="42"/>
      <c r="AB886" s="42"/>
    </row>
    <row r="887" spans="27:28" x14ac:dyDescent="0.2">
      <c r="AA887" s="42"/>
      <c r="AB887" s="42"/>
    </row>
    <row r="888" spans="27:28" x14ac:dyDescent="0.2">
      <c r="AA888" s="42"/>
      <c r="AB888" s="42"/>
    </row>
    <row r="889" spans="27:28" x14ac:dyDescent="0.2">
      <c r="AA889" s="42"/>
      <c r="AB889" s="42"/>
    </row>
    <row r="890" spans="27:28" x14ac:dyDescent="0.2">
      <c r="AA890" s="42"/>
      <c r="AB890" s="42"/>
    </row>
    <row r="891" spans="27:28" x14ac:dyDescent="0.2">
      <c r="AA891" s="42"/>
      <c r="AB891" s="42"/>
    </row>
    <row r="892" spans="27:28" x14ac:dyDescent="0.2">
      <c r="AA892" s="42"/>
      <c r="AB892" s="42"/>
    </row>
    <row r="893" spans="27:28" x14ac:dyDescent="0.2">
      <c r="AA893" s="42"/>
      <c r="AB893" s="42"/>
    </row>
    <row r="894" spans="27:28" x14ac:dyDescent="0.2">
      <c r="AA894" s="42"/>
      <c r="AB894" s="42"/>
    </row>
    <row r="895" spans="27:28" x14ac:dyDescent="0.2">
      <c r="AA895" s="42"/>
      <c r="AB895" s="42"/>
    </row>
    <row r="896" spans="27:28" x14ac:dyDescent="0.2">
      <c r="AA896" s="42"/>
      <c r="AB896" s="42"/>
    </row>
    <row r="897" spans="27:28" x14ac:dyDescent="0.2">
      <c r="AA897" s="42"/>
      <c r="AB897" s="42"/>
    </row>
    <row r="898" spans="27:28" x14ac:dyDescent="0.2">
      <c r="AA898" s="42"/>
      <c r="AB898" s="42"/>
    </row>
    <row r="899" spans="27:28" x14ac:dyDescent="0.2">
      <c r="AA899" s="42"/>
      <c r="AB899" s="42"/>
    </row>
    <row r="900" spans="27:28" x14ac:dyDescent="0.2">
      <c r="AA900" s="42"/>
      <c r="AB900" s="42"/>
    </row>
    <row r="901" spans="27:28" x14ac:dyDescent="0.2">
      <c r="AA901" s="42"/>
      <c r="AB901" s="42"/>
    </row>
    <row r="902" spans="27:28" x14ac:dyDescent="0.2">
      <c r="AA902" s="42"/>
      <c r="AB902" s="42"/>
    </row>
    <row r="903" spans="27:28" x14ac:dyDescent="0.2">
      <c r="AA903" s="42"/>
      <c r="AB903" s="42"/>
    </row>
    <row r="904" spans="27:28" x14ac:dyDescent="0.2">
      <c r="AA904" s="42"/>
      <c r="AB904" s="42"/>
    </row>
    <row r="905" spans="27:28" x14ac:dyDescent="0.2">
      <c r="AA905" s="42"/>
      <c r="AB905" s="42"/>
    </row>
    <row r="906" spans="27:28" x14ac:dyDescent="0.2">
      <c r="AA906" s="42"/>
      <c r="AB906" s="42"/>
    </row>
    <row r="907" spans="27:28" x14ac:dyDescent="0.2">
      <c r="AA907" s="42"/>
      <c r="AB907" s="42"/>
    </row>
    <row r="908" spans="27:28" x14ac:dyDescent="0.2">
      <c r="AA908" s="42"/>
      <c r="AB908" s="42"/>
    </row>
    <row r="909" spans="27:28" x14ac:dyDescent="0.2">
      <c r="AA909" s="42"/>
      <c r="AB909" s="42"/>
    </row>
    <row r="910" spans="27:28" x14ac:dyDescent="0.2">
      <c r="AA910" s="42"/>
      <c r="AB910" s="42"/>
    </row>
    <row r="911" spans="27:28" x14ac:dyDescent="0.2">
      <c r="AA911" s="42"/>
      <c r="AB911" s="42"/>
    </row>
    <row r="912" spans="27:28" x14ac:dyDescent="0.2">
      <c r="AA912" s="42"/>
      <c r="AB912" s="42"/>
    </row>
    <row r="913" spans="27:28" x14ac:dyDescent="0.2">
      <c r="AA913" s="42"/>
      <c r="AB913" s="42"/>
    </row>
    <row r="914" spans="27:28" x14ac:dyDescent="0.2">
      <c r="AA914" s="42"/>
      <c r="AB914" s="42"/>
    </row>
    <row r="915" spans="27:28" x14ac:dyDescent="0.2">
      <c r="AA915" s="42"/>
      <c r="AB915" s="42"/>
    </row>
    <row r="916" spans="27:28" x14ac:dyDescent="0.2">
      <c r="AA916" s="42"/>
      <c r="AB916" s="42"/>
    </row>
    <row r="917" spans="27:28" x14ac:dyDescent="0.2">
      <c r="AA917" s="42"/>
      <c r="AB917" s="42"/>
    </row>
    <row r="918" spans="27:28" x14ac:dyDescent="0.2">
      <c r="AA918" s="42"/>
      <c r="AB918" s="42"/>
    </row>
    <row r="919" spans="27:28" x14ac:dyDescent="0.2">
      <c r="AA919" s="42"/>
      <c r="AB919" s="42"/>
    </row>
    <row r="920" spans="27:28" x14ac:dyDescent="0.2">
      <c r="AA920" s="42"/>
      <c r="AB920" s="42"/>
    </row>
    <row r="921" spans="27:28" x14ac:dyDescent="0.2">
      <c r="AA921" s="42"/>
      <c r="AB921" s="42"/>
    </row>
    <row r="922" spans="27:28" x14ac:dyDescent="0.2">
      <c r="AA922" s="42"/>
      <c r="AB922" s="42"/>
    </row>
    <row r="923" spans="27:28" x14ac:dyDescent="0.2">
      <c r="AA923" s="42"/>
      <c r="AB923" s="42"/>
    </row>
    <row r="924" spans="27:28" x14ac:dyDescent="0.2">
      <c r="AA924" s="42"/>
      <c r="AB924" s="42"/>
    </row>
    <row r="925" spans="27:28" x14ac:dyDescent="0.2">
      <c r="AA925" s="42"/>
      <c r="AB925" s="42"/>
    </row>
    <row r="926" spans="27:28" x14ac:dyDescent="0.2">
      <c r="AA926" s="42"/>
      <c r="AB926" s="42"/>
    </row>
    <row r="927" spans="27:28" x14ac:dyDescent="0.2">
      <c r="AA927" s="42"/>
      <c r="AB927" s="42"/>
    </row>
    <row r="928" spans="27:28" x14ac:dyDescent="0.2">
      <c r="AA928" s="42"/>
      <c r="AB928" s="42"/>
    </row>
    <row r="929" spans="27:28" x14ac:dyDescent="0.2">
      <c r="AA929" s="42"/>
      <c r="AB929" s="42"/>
    </row>
    <row r="930" spans="27:28" x14ac:dyDescent="0.2">
      <c r="AA930" s="42"/>
      <c r="AB930" s="42"/>
    </row>
    <row r="931" spans="27:28" x14ac:dyDescent="0.2">
      <c r="AA931" s="42"/>
      <c r="AB931" s="42"/>
    </row>
    <row r="932" spans="27:28" x14ac:dyDescent="0.2">
      <c r="AA932" s="42"/>
      <c r="AB932" s="42"/>
    </row>
    <row r="933" spans="27:28" x14ac:dyDescent="0.2">
      <c r="AA933" s="42"/>
      <c r="AB933" s="42"/>
    </row>
    <row r="934" spans="27:28" x14ac:dyDescent="0.2">
      <c r="AA934" s="42"/>
      <c r="AB934" s="42"/>
    </row>
    <row r="935" spans="27:28" x14ac:dyDescent="0.2">
      <c r="AA935" s="42"/>
      <c r="AB935" s="42"/>
    </row>
    <row r="936" spans="27:28" x14ac:dyDescent="0.2">
      <c r="AA936" s="42"/>
      <c r="AB936" s="42"/>
    </row>
    <row r="937" spans="27:28" x14ac:dyDescent="0.2">
      <c r="AA937" s="42"/>
      <c r="AB937" s="42"/>
    </row>
    <row r="938" spans="27:28" x14ac:dyDescent="0.2">
      <c r="AA938" s="42"/>
      <c r="AB938" s="42"/>
    </row>
    <row r="939" spans="27:28" x14ac:dyDescent="0.2">
      <c r="AA939" s="42"/>
      <c r="AB939" s="42"/>
    </row>
    <row r="940" spans="27:28" x14ac:dyDescent="0.2">
      <c r="AA940" s="42"/>
      <c r="AB940" s="42"/>
    </row>
    <row r="941" spans="27:28" x14ac:dyDescent="0.2">
      <c r="AA941" s="42"/>
      <c r="AB941" s="42"/>
    </row>
    <row r="942" spans="27:28" x14ac:dyDescent="0.2">
      <c r="AA942" s="42"/>
      <c r="AB942" s="42"/>
    </row>
    <row r="943" spans="27:28" x14ac:dyDescent="0.2">
      <c r="AA943" s="42"/>
      <c r="AB943" s="42"/>
    </row>
    <row r="944" spans="27:28" x14ac:dyDescent="0.2">
      <c r="AA944" s="42"/>
      <c r="AB944" s="42"/>
    </row>
    <row r="945" spans="27:28" x14ac:dyDescent="0.2">
      <c r="AA945" s="42"/>
      <c r="AB945" s="42"/>
    </row>
    <row r="946" spans="27:28" x14ac:dyDescent="0.2">
      <c r="AA946" s="42"/>
      <c r="AB946" s="42"/>
    </row>
    <row r="947" spans="27:28" x14ac:dyDescent="0.2">
      <c r="AA947" s="42"/>
      <c r="AB947" s="42"/>
    </row>
    <row r="948" spans="27:28" x14ac:dyDescent="0.2">
      <c r="AA948" s="42"/>
      <c r="AB948" s="42"/>
    </row>
    <row r="949" spans="27:28" x14ac:dyDescent="0.2">
      <c r="AA949" s="42"/>
      <c r="AB949" s="42"/>
    </row>
    <row r="950" spans="27:28" x14ac:dyDescent="0.2">
      <c r="AA950" s="42"/>
      <c r="AB950" s="42"/>
    </row>
    <row r="951" spans="27:28" x14ac:dyDescent="0.2">
      <c r="AA951" s="42"/>
      <c r="AB951" s="42"/>
    </row>
    <row r="952" spans="27:28" x14ac:dyDescent="0.2">
      <c r="AA952" s="42"/>
      <c r="AB952" s="42"/>
    </row>
    <row r="953" spans="27:28" x14ac:dyDescent="0.2">
      <c r="AA953" s="42"/>
      <c r="AB953" s="42"/>
    </row>
    <row r="954" spans="27:28" x14ac:dyDescent="0.2">
      <c r="AA954" s="42"/>
      <c r="AB954" s="42"/>
    </row>
    <row r="955" spans="27:28" x14ac:dyDescent="0.2">
      <c r="AA955" s="42"/>
      <c r="AB955" s="42"/>
    </row>
    <row r="956" spans="27:28" x14ac:dyDescent="0.2">
      <c r="AA956" s="42"/>
      <c r="AB956" s="42"/>
    </row>
    <row r="957" spans="27:28" x14ac:dyDescent="0.2">
      <c r="AA957" s="42"/>
      <c r="AB957" s="42"/>
    </row>
    <row r="958" spans="27:28" x14ac:dyDescent="0.2">
      <c r="AA958" s="42"/>
      <c r="AB958" s="42"/>
    </row>
    <row r="959" spans="27:28" x14ac:dyDescent="0.2">
      <c r="AA959" s="42"/>
      <c r="AB959" s="42"/>
    </row>
    <row r="960" spans="27:28" x14ac:dyDescent="0.2">
      <c r="AA960" s="42"/>
      <c r="AB960" s="42"/>
    </row>
    <row r="961" spans="27:28" x14ac:dyDescent="0.2">
      <c r="AA961" s="42"/>
      <c r="AB961" s="42"/>
    </row>
    <row r="962" spans="27:28" x14ac:dyDescent="0.2">
      <c r="AA962" s="42"/>
      <c r="AB962" s="42"/>
    </row>
    <row r="963" spans="27:28" x14ac:dyDescent="0.2">
      <c r="AA963" s="42"/>
      <c r="AB963" s="42"/>
    </row>
    <row r="964" spans="27:28" x14ac:dyDescent="0.2">
      <c r="AA964" s="42"/>
      <c r="AB964" s="42"/>
    </row>
    <row r="965" spans="27:28" x14ac:dyDescent="0.2">
      <c r="AA965" s="42"/>
      <c r="AB965" s="42"/>
    </row>
    <row r="966" spans="27:28" x14ac:dyDescent="0.2">
      <c r="AA966" s="42"/>
      <c r="AB966" s="42"/>
    </row>
    <row r="967" spans="27:28" x14ac:dyDescent="0.2">
      <c r="AA967" s="42"/>
      <c r="AB967" s="42"/>
    </row>
    <row r="968" spans="27:28" x14ac:dyDescent="0.2">
      <c r="AA968" s="42"/>
      <c r="AB968" s="42"/>
    </row>
    <row r="969" spans="27:28" x14ac:dyDescent="0.2">
      <c r="AA969" s="42"/>
      <c r="AB969" s="42"/>
    </row>
    <row r="970" spans="27:28" x14ac:dyDescent="0.2">
      <c r="AA970" s="42"/>
      <c r="AB970" s="42"/>
    </row>
    <row r="971" spans="27:28" x14ac:dyDescent="0.2">
      <c r="AA971" s="42"/>
      <c r="AB971" s="42"/>
    </row>
    <row r="972" spans="27:28" x14ac:dyDescent="0.2">
      <c r="AA972" s="42"/>
      <c r="AB972" s="42"/>
    </row>
    <row r="973" spans="27:28" x14ac:dyDescent="0.2">
      <c r="AA973" s="42"/>
      <c r="AB973" s="42"/>
    </row>
    <row r="974" spans="27:28" x14ac:dyDescent="0.2">
      <c r="AA974" s="42"/>
      <c r="AB974" s="42"/>
    </row>
    <row r="975" spans="27:28" x14ac:dyDescent="0.2">
      <c r="AA975" s="42"/>
      <c r="AB975" s="42"/>
    </row>
    <row r="976" spans="27:28" x14ac:dyDescent="0.2">
      <c r="AA976" s="42"/>
      <c r="AB976" s="42"/>
    </row>
    <row r="977" spans="27:28" x14ac:dyDescent="0.2">
      <c r="AA977" s="42"/>
      <c r="AB977" s="42"/>
    </row>
    <row r="978" spans="27:28" x14ac:dyDescent="0.2">
      <c r="AA978" s="42"/>
      <c r="AB978" s="42"/>
    </row>
    <row r="979" spans="27:28" x14ac:dyDescent="0.2">
      <c r="AA979" s="42"/>
      <c r="AB979" s="42"/>
    </row>
    <row r="980" spans="27:28" x14ac:dyDescent="0.2">
      <c r="AA980" s="42"/>
      <c r="AB980" s="42"/>
    </row>
    <row r="981" spans="27:28" x14ac:dyDescent="0.2">
      <c r="AA981" s="42"/>
      <c r="AB981" s="42"/>
    </row>
    <row r="982" spans="27:28" x14ac:dyDescent="0.2">
      <c r="AA982" s="42"/>
      <c r="AB982" s="42"/>
    </row>
    <row r="983" spans="27:28" x14ac:dyDescent="0.2">
      <c r="AA983" s="42"/>
      <c r="AB983" s="42"/>
    </row>
    <row r="984" spans="27:28" x14ac:dyDescent="0.2">
      <c r="AA984" s="42"/>
      <c r="AB984" s="42"/>
    </row>
    <row r="985" spans="27:28" x14ac:dyDescent="0.2">
      <c r="AA985" s="42"/>
      <c r="AB985" s="42"/>
    </row>
    <row r="986" spans="27:28" x14ac:dyDescent="0.2">
      <c r="AA986" s="42"/>
      <c r="AB986" s="42"/>
    </row>
    <row r="987" spans="27:28" x14ac:dyDescent="0.2">
      <c r="AA987" s="42"/>
      <c r="AB987" s="42"/>
    </row>
    <row r="988" spans="27:28" x14ac:dyDescent="0.2">
      <c r="AA988" s="42"/>
      <c r="AB988" s="42"/>
    </row>
    <row r="989" spans="27:28" x14ac:dyDescent="0.2">
      <c r="AA989" s="42"/>
      <c r="AB989" s="42"/>
    </row>
    <row r="990" spans="27:28" x14ac:dyDescent="0.2">
      <c r="AA990" s="42"/>
      <c r="AB990" s="42"/>
    </row>
    <row r="991" spans="27:28" x14ac:dyDescent="0.2">
      <c r="AA991" s="42"/>
      <c r="AB991" s="42"/>
    </row>
    <row r="992" spans="27:28" x14ac:dyDescent="0.2">
      <c r="AA992" s="42"/>
      <c r="AB992" s="42"/>
    </row>
    <row r="993" spans="27:28" x14ac:dyDescent="0.2">
      <c r="AA993" s="42"/>
      <c r="AB993" s="42"/>
    </row>
    <row r="994" spans="27:28" x14ac:dyDescent="0.2">
      <c r="AA994" s="42"/>
      <c r="AB994" s="42"/>
    </row>
    <row r="995" spans="27:28" x14ac:dyDescent="0.2">
      <c r="AA995" s="42"/>
      <c r="AB995" s="42"/>
    </row>
    <row r="996" spans="27:28" x14ac:dyDescent="0.2">
      <c r="AA996" s="42"/>
      <c r="AB996" s="42"/>
    </row>
    <row r="997" spans="27:28" x14ac:dyDescent="0.2">
      <c r="AA997" s="42"/>
      <c r="AB997" s="42"/>
    </row>
    <row r="998" spans="27:28" x14ac:dyDescent="0.2">
      <c r="AA998" s="42"/>
      <c r="AB998" s="42"/>
    </row>
    <row r="999" spans="27:28" x14ac:dyDescent="0.2">
      <c r="AA999" s="42"/>
      <c r="AB999" s="42"/>
    </row>
    <row r="1000" spans="27:28" x14ac:dyDescent="0.2">
      <c r="AA1000" s="42"/>
      <c r="AB1000" s="42"/>
    </row>
    <row r="1001" spans="27:28" x14ac:dyDescent="0.2">
      <c r="AA1001" s="42"/>
      <c r="AB1001" s="42"/>
    </row>
    <row r="1002" spans="27:28" x14ac:dyDescent="0.2">
      <c r="AA1002" s="42"/>
      <c r="AB1002" s="42"/>
    </row>
    <row r="1003" spans="27:28" x14ac:dyDescent="0.2">
      <c r="AA1003" s="42"/>
      <c r="AB1003" s="42"/>
    </row>
    <row r="1004" spans="27:28" x14ac:dyDescent="0.2">
      <c r="AA1004" s="42"/>
      <c r="AB1004" s="42"/>
    </row>
    <row r="1005" spans="27:28" x14ac:dyDescent="0.2">
      <c r="AA1005" s="42"/>
      <c r="AB1005" s="42"/>
    </row>
  </sheetData>
  <mergeCells count="3">
    <mergeCell ref="A1:AQ1"/>
    <mergeCell ref="V4:AP4"/>
    <mergeCell ref="B4:T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>
    <tabColor theme="5"/>
  </sheetPr>
  <dimension ref="A1:AP55"/>
  <sheetViews>
    <sheetView zoomScale="75" workbookViewId="0">
      <selection activeCell="Q37" sqref="Q37"/>
    </sheetView>
  </sheetViews>
  <sheetFormatPr baseColWidth="10" defaultRowHeight="15" x14ac:dyDescent="0.2"/>
  <cols>
    <col min="1" max="1" width="7.83203125" customWidth="1"/>
    <col min="2" max="2" width="3.1640625" bestFit="1" customWidth="1"/>
    <col min="3" max="3" width="12.1640625" bestFit="1" customWidth="1"/>
    <col min="4" max="4" width="7.33203125" bestFit="1" customWidth="1"/>
    <col min="5" max="5" width="14.1640625" bestFit="1" customWidth="1"/>
    <col min="6" max="6" width="11.6640625" bestFit="1" customWidth="1"/>
    <col min="20" max="20" width="11.33203125" customWidth="1"/>
    <col min="22" max="22" width="3.1640625" bestFit="1" customWidth="1"/>
    <col min="23" max="23" width="12.1640625" bestFit="1" customWidth="1"/>
    <col min="24" max="24" width="7.33203125" bestFit="1" customWidth="1"/>
    <col min="25" max="25" width="14.1640625" bestFit="1" customWidth="1"/>
    <col min="26" max="26" width="11.6640625" bestFit="1" customWidth="1"/>
  </cols>
  <sheetData>
    <row r="1" spans="1:42" ht="24" x14ac:dyDescent="0.3">
      <c r="A1" s="88" t="s">
        <v>49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</row>
    <row r="2" spans="1:42" x14ac:dyDescent="0.2">
      <c r="H2" s="1"/>
      <c r="M2" s="1"/>
    </row>
    <row r="3" spans="1:42" x14ac:dyDescent="0.2">
      <c r="D3" s="1"/>
    </row>
    <row r="4" spans="1:42" ht="24" x14ac:dyDescent="0.3">
      <c r="B4" s="88" t="s">
        <v>51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V4" s="88" t="s">
        <v>50</v>
      </c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</row>
    <row r="5" spans="1:42" x14ac:dyDescent="0.2">
      <c r="B5" s="43" t="s">
        <v>16</v>
      </c>
      <c r="C5" s="43" t="s">
        <v>54</v>
      </c>
      <c r="D5" s="43" t="s">
        <v>55</v>
      </c>
      <c r="E5" s="43" t="s">
        <v>56</v>
      </c>
      <c r="F5" s="43" t="s">
        <v>57</v>
      </c>
      <c r="V5" s="43" t="s">
        <v>16</v>
      </c>
      <c r="W5" s="43" t="s">
        <v>54</v>
      </c>
      <c r="X5" s="43" t="s">
        <v>55</v>
      </c>
      <c r="Y5" s="43" t="s">
        <v>56</v>
      </c>
      <c r="Z5" s="43" t="s">
        <v>57</v>
      </c>
    </row>
    <row r="6" spans="1:42" x14ac:dyDescent="0.2">
      <c r="B6">
        <v>1</v>
      </c>
      <c r="C6">
        <v>6.29425048828125E-5</v>
      </c>
      <c r="E6">
        <v>2.4199485778808594E-4</v>
      </c>
      <c r="V6">
        <v>1</v>
      </c>
      <c r="W6">
        <v>3.3140182495117188E-5</v>
      </c>
      <c r="Y6">
        <v>4.3153762817382812E-5</v>
      </c>
    </row>
    <row r="7" spans="1:42" x14ac:dyDescent="0.2">
      <c r="B7">
        <v>2</v>
      </c>
      <c r="C7">
        <v>3.5309791564941406E-4</v>
      </c>
      <c r="E7">
        <v>5.2142143249511719E-4</v>
      </c>
      <c r="V7">
        <v>2</v>
      </c>
      <c r="W7">
        <v>2.7012825012207031E-4</v>
      </c>
      <c r="Y7">
        <v>2.5606155395507812E-4</v>
      </c>
    </row>
    <row r="8" spans="1:42" x14ac:dyDescent="0.2">
      <c r="B8">
        <v>3</v>
      </c>
      <c r="C8">
        <v>5.8412551879882812E-4</v>
      </c>
      <c r="E8">
        <v>9.04083251953125E-4</v>
      </c>
      <c r="V8">
        <v>3</v>
      </c>
      <c r="W8">
        <v>4.9495697021484375E-4</v>
      </c>
      <c r="Y8">
        <v>4.6992301940917969E-4</v>
      </c>
    </row>
    <row r="9" spans="1:42" x14ac:dyDescent="0.2">
      <c r="B9">
        <v>4</v>
      </c>
      <c r="C9">
        <v>5.0401687622070312E-4</v>
      </c>
      <c r="E9">
        <v>6.6995620727539062E-4</v>
      </c>
      <c r="V9">
        <v>4</v>
      </c>
      <c r="W9">
        <v>3.7407875061035156E-4</v>
      </c>
      <c r="Y9">
        <v>3.6191940307617188E-4</v>
      </c>
    </row>
    <row r="10" spans="1:42" x14ac:dyDescent="0.2">
      <c r="B10">
        <v>5</v>
      </c>
      <c r="C10">
        <v>7.6699256896972656E-4</v>
      </c>
      <c r="E10">
        <v>8.5282325744628906E-4</v>
      </c>
      <c r="V10">
        <v>5</v>
      </c>
      <c r="W10">
        <v>6.7591667175292969E-4</v>
      </c>
      <c r="Y10">
        <v>6.6685676574707031E-4</v>
      </c>
    </row>
    <row r="11" spans="1:42" x14ac:dyDescent="0.2">
      <c r="B11">
        <v>6</v>
      </c>
      <c r="C11">
        <v>1.2001991271972656E-3</v>
      </c>
      <c r="E11">
        <v>1.5332698822021484E-3</v>
      </c>
      <c r="V11">
        <v>6</v>
      </c>
      <c r="W11">
        <v>1.0879039764404297E-3</v>
      </c>
      <c r="Y11">
        <v>9.0813636779785156E-4</v>
      </c>
    </row>
    <row r="12" spans="1:42" x14ac:dyDescent="0.2">
      <c r="B12">
        <v>7</v>
      </c>
      <c r="C12">
        <v>1.190185546875E-3</v>
      </c>
      <c r="E12">
        <v>1.2688636779785156E-3</v>
      </c>
      <c r="V12">
        <v>7</v>
      </c>
      <c r="W12">
        <v>1.4107227325439453E-3</v>
      </c>
      <c r="Y12">
        <v>1.1401176452636719E-3</v>
      </c>
    </row>
    <row r="13" spans="1:42" x14ac:dyDescent="0.2">
      <c r="B13">
        <v>8</v>
      </c>
      <c r="C13">
        <v>1.6450881958007812E-3</v>
      </c>
      <c r="E13">
        <v>1.5187263488769531E-3</v>
      </c>
      <c r="V13">
        <v>8</v>
      </c>
      <c r="W13">
        <v>1.2159347534179688E-3</v>
      </c>
      <c r="Y13">
        <v>1.4090538024902344E-3</v>
      </c>
    </row>
    <row r="14" spans="1:42" x14ac:dyDescent="0.2">
      <c r="B14">
        <v>9</v>
      </c>
      <c r="C14">
        <v>1.9898414611816406E-3</v>
      </c>
      <c r="E14">
        <v>2.2630691528320312E-3</v>
      </c>
      <c r="V14">
        <v>9</v>
      </c>
      <c r="W14">
        <v>1.5439987182617188E-3</v>
      </c>
      <c r="Y14">
        <v>1.4281272888183594E-3</v>
      </c>
    </row>
    <row r="15" spans="1:42" x14ac:dyDescent="0.2">
      <c r="B15">
        <v>10</v>
      </c>
      <c r="C15">
        <v>2.452850341796875E-3</v>
      </c>
      <c r="E15">
        <v>2.4073123931884766E-3</v>
      </c>
      <c r="V15">
        <v>10</v>
      </c>
      <c r="W15">
        <v>1.8548965454101562E-3</v>
      </c>
      <c r="Y15">
        <v>1.7650127410888672E-3</v>
      </c>
    </row>
    <row r="16" spans="1:42" x14ac:dyDescent="0.2">
      <c r="B16">
        <v>11</v>
      </c>
      <c r="C16">
        <v>2.8312206268310547E-3</v>
      </c>
      <c r="E16">
        <v>2.6366710662841797E-3</v>
      </c>
      <c r="V16">
        <v>11</v>
      </c>
      <c r="W16">
        <v>2.2428035736083984E-3</v>
      </c>
      <c r="Y16">
        <v>2.1450519561767578E-3</v>
      </c>
    </row>
    <row r="17" spans="2:25" x14ac:dyDescent="0.2">
      <c r="B17">
        <v>12</v>
      </c>
      <c r="C17">
        <v>3.2200813293457031E-3</v>
      </c>
      <c r="E17">
        <v>3.6902427673339844E-3</v>
      </c>
      <c r="V17">
        <v>12</v>
      </c>
      <c r="W17">
        <v>2.6218891143798828E-3</v>
      </c>
      <c r="Y17">
        <v>2.4740695953369141E-3</v>
      </c>
    </row>
    <row r="18" spans="2:25" x14ac:dyDescent="0.2">
      <c r="B18">
        <v>13</v>
      </c>
      <c r="C18">
        <v>3.1881332397460938E-3</v>
      </c>
      <c r="E18">
        <v>3.8778781890869141E-3</v>
      </c>
      <c r="V18">
        <v>13</v>
      </c>
      <c r="W18">
        <v>3.0488967895507812E-3</v>
      </c>
      <c r="Y18">
        <v>2.8705596923828125E-3</v>
      </c>
    </row>
    <row r="19" spans="2:25" x14ac:dyDescent="0.2">
      <c r="B19">
        <v>14</v>
      </c>
      <c r="C19">
        <v>3.7417411804199219E-3</v>
      </c>
      <c r="E19">
        <v>3.5080909729003906E-3</v>
      </c>
      <c r="V19">
        <v>14</v>
      </c>
      <c r="W19">
        <v>3.0052661895751953E-3</v>
      </c>
      <c r="Y19">
        <v>3.2980442047119141E-3</v>
      </c>
    </row>
    <row r="20" spans="2:25" x14ac:dyDescent="0.2">
      <c r="B20">
        <v>15</v>
      </c>
      <c r="C20">
        <v>4.1639804840087891E-3</v>
      </c>
      <c r="E20">
        <v>4.0268898010253906E-3</v>
      </c>
      <c r="V20">
        <v>15</v>
      </c>
      <c r="W20">
        <v>3.3538341522216797E-3</v>
      </c>
      <c r="Y20">
        <v>3.1881332397460938E-3</v>
      </c>
    </row>
    <row r="21" spans="2:25" x14ac:dyDescent="0.2">
      <c r="B21">
        <v>16</v>
      </c>
      <c r="C21">
        <v>4.1811466217041016E-3</v>
      </c>
      <c r="E21">
        <v>4.3389797210693359E-3</v>
      </c>
      <c r="V21">
        <v>16</v>
      </c>
      <c r="W21">
        <v>3.7882328033447266E-3</v>
      </c>
      <c r="Y21">
        <v>3.6389827728271484E-3</v>
      </c>
    </row>
    <row r="22" spans="2:25" x14ac:dyDescent="0.2">
      <c r="B22">
        <v>17</v>
      </c>
      <c r="C22">
        <v>4.2879581451416016E-3</v>
      </c>
      <c r="E22">
        <v>4.7039985656738281E-3</v>
      </c>
      <c r="V22">
        <v>17</v>
      </c>
      <c r="W22">
        <v>4.1179656982421875E-3</v>
      </c>
      <c r="Y22">
        <v>4.1232109069824219E-3</v>
      </c>
    </row>
    <row r="23" spans="2:25" x14ac:dyDescent="0.2">
      <c r="B23">
        <v>18</v>
      </c>
      <c r="C23">
        <v>5.2187442779541016E-3</v>
      </c>
      <c r="E23">
        <v>4.6026706695556641E-3</v>
      </c>
      <c r="V23">
        <v>18</v>
      </c>
      <c r="W23">
        <v>4.1811466217041016E-3</v>
      </c>
      <c r="Y23">
        <v>4.2159557342529297E-3</v>
      </c>
    </row>
    <row r="24" spans="2:25" x14ac:dyDescent="0.2">
      <c r="B24">
        <v>19</v>
      </c>
      <c r="C24">
        <v>4.8019886016845703E-3</v>
      </c>
      <c r="E24">
        <v>5.0759315490722656E-3</v>
      </c>
      <c r="V24">
        <v>19</v>
      </c>
      <c r="W24">
        <v>4.2572021484375E-3</v>
      </c>
      <c r="Y24">
        <v>4.3239593505859375E-3</v>
      </c>
    </row>
    <row r="25" spans="2:25" x14ac:dyDescent="0.2">
      <c r="B25">
        <v>20</v>
      </c>
      <c r="C25">
        <v>5.1448345184326172E-3</v>
      </c>
      <c r="E25">
        <v>4.7979354858398438E-3</v>
      </c>
      <c r="V25">
        <v>20</v>
      </c>
      <c r="W25">
        <v>4.4190883636474609E-3</v>
      </c>
      <c r="Y25">
        <v>4.4491291046142578E-3</v>
      </c>
    </row>
    <row r="26" spans="2:25" x14ac:dyDescent="0.2">
      <c r="B26">
        <v>21</v>
      </c>
      <c r="C26">
        <v>5.39398193359375E-3</v>
      </c>
      <c r="E26">
        <v>5.2390098571777344E-3</v>
      </c>
      <c r="V26">
        <v>21</v>
      </c>
      <c r="W26">
        <v>4.730224609375E-3</v>
      </c>
      <c r="Y26">
        <v>4.5258998870849609E-3</v>
      </c>
    </row>
    <row r="27" spans="2:25" x14ac:dyDescent="0.2">
      <c r="B27">
        <v>22</v>
      </c>
      <c r="C27">
        <v>5.4552555084228516E-3</v>
      </c>
      <c r="E27">
        <v>5.3150653839111328E-3</v>
      </c>
      <c r="V27">
        <v>22</v>
      </c>
      <c r="W27">
        <v>4.7879219055175781E-3</v>
      </c>
      <c r="Y27">
        <v>4.7049522399902344E-3</v>
      </c>
    </row>
    <row r="28" spans="2:25" x14ac:dyDescent="0.2">
      <c r="B28">
        <v>23</v>
      </c>
      <c r="C28">
        <v>5.2511692047119141E-3</v>
      </c>
      <c r="E28">
        <v>5.1670074462890625E-3</v>
      </c>
      <c r="V28">
        <v>23</v>
      </c>
      <c r="W28">
        <v>4.6107769012451172E-3</v>
      </c>
      <c r="Y28">
        <v>4.4417381286621094E-3</v>
      </c>
    </row>
    <row r="29" spans="2:25" x14ac:dyDescent="0.2">
      <c r="B29">
        <v>24</v>
      </c>
      <c r="C29">
        <v>5.4490566253662109E-3</v>
      </c>
      <c r="E29">
        <v>5.2111148834228516E-3</v>
      </c>
      <c r="V29">
        <v>24</v>
      </c>
      <c r="W29">
        <v>4.7190189361572266E-3</v>
      </c>
      <c r="Y29">
        <v>4.7061443328857422E-3</v>
      </c>
    </row>
    <row r="30" spans="2:25" x14ac:dyDescent="0.2">
      <c r="B30">
        <v>25</v>
      </c>
      <c r="C30">
        <v>5.5401325225830078E-3</v>
      </c>
      <c r="E30">
        <v>5.6140422821044922E-3</v>
      </c>
      <c r="V30">
        <v>25</v>
      </c>
      <c r="W30">
        <v>4.9538612365722656E-3</v>
      </c>
      <c r="Y30">
        <v>4.9250125885009766E-3</v>
      </c>
    </row>
    <row r="31" spans="2:25" x14ac:dyDescent="0.2">
      <c r="B31">
        <v>26</v>
      </c>
      <c r="C31">
        <v>5.6118965148925781E-3</v>
      </c>
      <c r="E31">
        <v>5.5339336395263672E-3</v>
      </c>
      <c r="V31">
        <v>26</v>
      </c>
      <c r="W31">
        <v>4.9626827239990234E-3</v>
      </c>
      <c r="Y31">
        <v>4.9359798431396484E-3</v>
      </c>
    </row>
    <row r="32" spans="2:25" x14ac:dyDescent="0.2">
      <c r="B32">
        <v>27</v>
      </c>
      <c r="C32">
        <v>5.6750774383544922E-3</v>
      </c>
      <c r="E32">
        <v>5.4159164428710938E-3</v>
      </c>
      <c r="V32">
        <v>27</v>
      </c>
      <c r="W32">
        <v>5.046844482421875E-3</v>
      </c>
      <c r="Y32">
        <v>4.9540996551513672E-3</v>
      </c>
    </row>
    <row r="33" spans="2:25" x14ac:dyDescent="0.2">
      <c r="B33">
        <v>28</v>
      </c>
      <c r="C33">
        <v>6.0970783233642578E-3</v>
      </c>
      <c r="E33">
        <v>5.970001220703125E-3</v>
      </c>
      <c r="V33">
        <v>28</v>
      </c>
      <c r="W33">
        <v>5.374908447265625E-3</v>
      </c>
      <c r="Y33">
        <v>5.3188800811767578E-3</v>
      </c>
    </row>
    <row r="34" spans="2:25" x14ac:dyDescent="0.2">
      <c r="B34">
        <v>29</v>
      </c>
      <c r="C34">
        <v>6.58416748046875E-3</v>
      </c>
      <c r="E34">
        <v>6.5090656280517578E-3</v>
      </c>
      <c r="V34">
        <v>29</v>
      </c>
      <c r="W34">
        <v>5.7370662689208984E-3</v>
      </c>
      <c r="Y34">
        <v>5.6083202362060547E-3</v>
      </c>
    </row>
    <row r="35" spans="2:25" x14ac:dyDescent="0.2">
      <c r="B35">
        <v>30</v>
      </c>
      <c r="C35">
        <v>7.0662498474121094E-3</v>
      </c>
      <c r="E35">
        <v>7.0307254791259766E-3</v>
      </c>
      <c r="V35">
        <v>30</v>
      </c>
      <c r="W35">
        <v>6.2019824981689453E-3</v>
      </c>
      <c r="Y35">
        <v>6.0427188873291016E-3</v>
      </c>
    </row>
    <row r="36" spans="2:25" x14ac:dyDescent="0.2">
      <c r="B36">
        <v>31</v>
      </c>
      <c r="C36">
        <v>7.1959495544433594E-3</v>
      </c>
      <c r="E36">
        <v>7.0602893829345703E-3</v>
      </c>
      <c r="V36">
        <v>31</v>
      </c>
      <c r="W36">
        <v>6.5169334411621094E-3</v>
      </c>
      <c r="Y36">
        <v>6.2019824981689453E-3</v>
      </c>
    </row>
    <row r="37" spans="2:25" x14ac:dyDescent="0.2">
      <c r="B37">
        <v>32</v>
      </c>
      <c r="C37">
        <v>7.5252056121826172E-3</v>
      </c>
      <c r="E37">
        <v>7.7450275421142578E-3</v>
      </c>
      <c r="V37">
        <v>32</v>
      </c>
      <c r="W37">
        <v>6.9010257720947266E-3</v>
      </c>
      <c r="Y37">
        <v>6.5870285034179688E-3</v>
      </c>
    </row>
    <row r="38" spans="2:25" x14ac:dyDescent="0.2">
      <c r="B38">
        <v>33</v>
      </c>
      <c r="C38">
        <v>8.2218647003173828E-3</v>
      </c>
      <c r="E38">
        <v>8.3069801330566406E-3</v>
      </c>
      <c r="V38">
        <v>33</v>
      </c>
      <c r="W38">
        <v>7.2848796844482422E-3</v>
      </c>
      <c r="Y38">
        <v>7.1687698364257812E-3</v>
      </c>
    </row>
    <row r="39" spans="2:25" x14ac:dyDescent="0.2">
      <c r="B39">
        <v>34</v>
      </c>
      <c r="C39">
        <v>8.70513916015625E-3</v>
      </c>
      <c r="E39">
        <v>8.7618827819824219E-3</v>
      </c>
      <c r="V39">
        <v>34</v>
      </c>
      <c r="W39">
        <v>7.5769424438476562E-3</v>
      </c>
      <c r="Y39">
        <v>7.3800086975097656E-3</v>
      </c>
    </row>
    <row r="40" spans="2:25" x14ac:dyDescent="0.2">
      <c r="B40">
        <v>35</v>
      </c>
      <c r="C40">
        <v>9.0429782867431641E-3</v>
      </c>
      <c r="E40">
        <v>9.2799663543701172E-3</v>
      </c>
      <c r="V40">
        <v>35</v>
      </c>
      <c r="W40">
        <v>7.9550743103027344E-3</v>
      </c>
      <c r="Y40">
        <v>7.7362060546875E-3</v>
      </c>
    </row>
    <row r="41" spans="2:25" x14ac:dyDescent="0.2">
      <c r="B41">
        <v>36</v>
      </c>
      <c r="C41">
        <v>9.5157623291015625E-3</v>
      </c>
      <c r="E41">
        <v>9.6912384033203125E-3</v>
      </c>
      <c r="V41">
        <v>36</v>
      </c>
      <c r="W41">
        <v>8.2333087921142578E-3</v>
      </c>
      <c r="Y41">
        <v>8.2700252532958984E-3</v>
      </c>
    </row>
    <row r="42" spans="2:25" x14ac:dyDescent="0.2">
      <c r="B42">
        <v>37</v>
      </c>
      <c r="C42">
        <v>9.8750591278076172E-3</v>
      </c>
      <c r="E42">
        <v>9.8750591278076172E-3</v>
      </c>
      <c r="V42">
        <v>37</v>
      </c>
      <c r="W42">
        <v>8.7811946868896484E-3</v>
      </c>
      <c r="Y42">
        <v>8.4428787231445312E-3</v>
      </c>
    </row>
    <row r="43" spans="2:25" x14ac:dyDescent="0.2">
      <c r="B43">
        <v>38</v>
      </c>
      <c r="C43">
        <v>1.0314702987670898E-2</v>
      </c>
      <c r="E43">
        <v>1.0404109954833984E-2</v>
      </c>
      <c r="V43">
        <v>38</v>
      </c>
      <c r="W43">
        <v>9.1860294342041016E-3</v>
      </c>
      <c r="Y43">
        <v>8.8529586791992188E-3</v>
      </c>
    </row>
    <row r="44" spans="2:25" x14ac:dyDescent="0.2">
      <c r="B44">
        <v>39</v>
      </c>
      <c r="C44">
        <v>1.0768890380859375E-2</v>
      </c>
      <c r="E44">
        <v>1.1415004730224609E-2</v>
      </c>
      <c r="V44">
        <v>39</v>
      </c>
      <c r="W44">
        <v>3.1054973602294922E-2</v>
      </c>
      <c r="Y44">
        <v>9.3812942504882812E-3</v>
      </c>
    </row>
    <row r="45" spans="2:25" x14ac:dyDescent="0.2">
      <c r="B45">
        <v>40</v>
      </c>
      <c r="C45">
        <v>1.1169195175170898E-2</v>
      </c>
      <c r="E45">
        <v>1.1534214019775391E-2</v>
      </c>
      <c r="V45">
        <v>40</v>
      </c>
      <c r="W45">
        <v>1.0097026824951172E-2</v>
      </c>
      <c r="Y45">
        <v>9.7799301147460938E-3</v>
      </c>
    </row>
    <row r="46" spans="2:25" x14ac:dyDescent="0.2">
      <c r="B46">
        <v>41</v>
      </c>
      <c r="C46">
        <v>1.1663198471069336E-2</v>
      </c>
      <c r="E46">
        <v>1.2044906616210938E-2</v>
      </c>
      <c r="V46">
        <v>41</v>
      </c>
      <c r="W46">
        <v>1.0396003723144531E-2</v>
      </c>
      <c r="Y46">
        <v>1.0128021240234375E-2</v>
      </c>
    </row>
    <row r="47" spans="2:25" x14ac:dyDescent="0.2">
      <c r="B47">
        <v>42</v>
      </c>
      <c r="C47">
        <v>1.2264013290405273E-2</v>
      </c>
      <c r="E47">
        <v>1.2930154800415039E-2</v>
      </c>
      <c r="V47">
        <v>42</v>
      </c>
      <c r="W47">
        <v>1.1025905609130859E-2</v>
      </c>
      <c r="Y47">
        <v>1.0446786880493164E-2</v>
      </c>
    </row>
    <row r="48" spans="2:25" x14ac:dyDescent="0.2">
      <c r="B48">
        <v>43</v>
      </c>
      <c r="C48">
        <v>1.2447118759155273E-2</v>
      </c>
      <c r="E48">
        <v>1.2639045715332031E-2</v>
      </c>
      <c r="V48">
        <v>43</v>
      </c>
      <c r="W48">
        <v>1.1206865310668945E-2</v>
      </c>
      <c r="Y48">
        <v>1.0684967041015625E-2</v>
      </c>
    </row>
    <row r="49" spans="2:25" x14ac:dyDescent="0.2">
      <c r="B49">
        <v>44</v>
      </c>
      <c r="C49">
        <v>1.3459920883178711E-2</v>
      </c>
      <c r="E49">
        <v>1.3853073120117188E-2</v>
      </c>
      <c r="V49">
        <v>44</v>
      </c>
      <c r="W49">
        <v>1.1731147766113281E-2</v>
      </c>
      <c r="Y49">
        <v>1.1374235153198242E-2</v>
      </c>
    </row>
    <row r="50" spans="2:25" x14ac:dyDescent="0.2">
      <c r="B50">
        <v>45</v>
      </c>
      <c r="C50">
        <v>1.2810230255126953E-2</v>
      </c>
      <c r="E50">
        <v>3.4592866897583008E-2</v>
      </c>
      <c r="V50">
        <v>45</v>
      </c>
      <c r="W50">
        <v>1.2082099914550781E-2</v>
      </c>
      <c r="Y50">
        <v>1.1382102966308594E-2</v>
      </c>
    </row>
    <row r="51" spans="2:25" x14ac:dyDescent="0.2">
      <c r="B51">
        <v>46</v>
      </c>
      <c r="C51">
        <v>1.4284133911132812E-2</v>
      </c>
      <c r="E51">
        <v>1.4827966690063477E-2</v>
      </c>
      <c r="V51">
        <v>46</v>
      </c>
      <c r="W51">
        <v>1.2775897979736328E-2</v>
      </c>
      <c r="Y51">
        <v>1.2408971786499023E-2</v>
      </c>
    </row>
    <row r="52" spans="2:25" x14ac:dyDescent="0.2">
      <c r="B52">
        <v>47</v>
      </c>
      <c r="C52">
        <v>1.481175422668457E-2</v>
      </c>
      <c r="E52">
        <v>1.5436172485351562E-2</v>
      </c>
      <c r="V52">
        <v>47</v>
      </c>
      <c r="W52">
        <v>1.3280153274536133E-2</v>
      </c>
      <c r="Y52">
        <v>1.2910842895507812E-2</v>
      </c>
    </row>
    <row r="53" spans="2:25" x14ac:dyDescent="0.2">
      <c r="B53">
        <v>48</v>
      </c>
      <c r="C53">
        <v>1.5388965606689453E-2</v>
      </c>
      <c r="E53">
        <v>1.5909194946289062E-2</v>
      </c>
      <c r="V53">
        <v>48</v>
      </c>
      <c r="W53">
        <v>1.3707160949707031E-2</v>
      </c>
      <c r="Y53">
        <v>3.3778190612792969E-2</v>
      </c>
    </row>
    <row r="54" spans="2:25" x14ac:dyDescent="0.2">
      <c r="B54">
        <v>49</v>
      </c>
      <c r="C54">
        <v>1.601099967956543E-2</v>
      </c>
      <c r="E54">
        <v>1.6736984252929688E-2</v>
      </c>
      <c r="V54">
        <v>49</v>
      </c>
      <c r="W54">
        <v>1.44500732421875E-2</v>
      </c>
      <c r="Y54">
        <v>1.3729095458984375E-2</v>
      </c>
    </row>
    <row r="55" spans="2:25" x14ac:dyDescent="0.2">
      <c r="B55">
        <v>50</v>
      </c>
      <c r="C55">
        <v>1.6682863235473633E-2</v>
      </c>
      <c r="E55">
        <v>1.7485857009887695E-2</v>
      </c>
      <c r="V55">
        <v>50</v>
      </c>
      <c r="W55">
        <v>1.5106201171875E-2</v>
      </c>
      <c r="Y55">
        <v>1.4322757720947266E-2</v>
      </c>
    </row>
  </sheetData>
  <mergeCells count="3">
    <mergeCell ref="A1:AP1"/>
    <mergeCell ref="B4:T4"/>
    <mergeCell ref="V4:AO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F96A-A484-7540-AAF1-FC010DD0DCB1}">
  <sheetPr codeName="Feuil9">
    <tabColor theme="8" tint="0.39997558519241921"/>
  </sheetPr>
  <dimension ref="A1:N13"/>
  <sheetViews>
    <sheetView zoomScale="83" workbookViewId="0">
      <selection activeCell="G22" sqref="G22"/>
    </sheetView>
  </sheetViews>
  <sheetFormatPr baseColWidth="10" defaultRowHeight="15" x14ac:dyDescent="0.2"/>
  <cols>
    <col min="2" max="2" width="18.83203125" customWidth="1"/>
    <col min="3" max="3" width="11.6640625" bestFit="1" customWidth="1"/>
    <col min="5" max="5" width="26.1640625" customWidth="1"/>
    <col min="6" max="6" width="17" bestFit="1" customWidth="1"/>
    <col min="7" max="7" width="11.1640625" customWidth="1"/>
    <col min="8" max="8" width="36" bestFit="1" customWidth="1"/>
    <col min="9" max="9" width="17" bestFit="1" customWidth="1"/>
    <col min="11" max="11" width="33.6640625" customWidth="1"/>
  </cols>
  <sheetData>
    <row r="1" spans="1:14" ht="24" x14ac:dyDescent="0.3">
      <c r="A1" s="88" t="s">
        <v>77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4" ht="16" thickBot="1" x14ac:dyDescent="0.25"/>
    <row r="3" spans="1:14" ht="20" thickBot="1" x14ac:dyDescent="0.3">
      <c r="B3" s="50"/>
      <c r="C3" s="92" t="s">
        <v>70</v>
      </c>
      <c r="D3" s="93"/>
      <c r="E3" s="94"/>
      <c r="F3" s="89" t="s">
        <v>72</v>
      </c>
      <c r="G3" s="90"/>
      <c r="H3" s="90"/>
      <c r="I3" s="90"/>
      <c r="J3" s="90"/>
      <c r="K3" s="91"/>
    </row>
    <row r="4" spans="1:14" ht="20" thickBot="1" x14ac:dyDescent="0.3">
      <c r="B4" s="64"/>
      <c r="C4" s="52"/>
      <c r="D4" s="47"/>
      <c r="E4" s="58" t="s">
        <v>75</v>
      </c>
      <c r="F4" s="52"/>
      <c r="G4" s="53"/>
      <c r="H4" s="60" t="s">
        <v>76</v>
      </c>
      <c r="I4" s="52"/>
      <c r="J4" s="63"/>
      <c r="K4" s="61" t="s">
        <v>78</v>
      </c>
    </row>
    <row r="5" spans="1:14" ht="19" thickBot="1" x14ac:dyDescent="0.3">
      <c r="B5" s="51"/>
      <c r="C5" s="54" t="s">
        <v>71</v>
      </c>
      <c r="D5" s="57" t="s">
        <v>24</v>
      </c>
      <c r="E5" s="59"/>
      <c r="F5" s="54" t="s">
        <v>54</v>
      </c>
      <c r="G5" s="57" t="s">
        <v>55</v>
      </c>
      <c r="H5" s="59"/>
      <c r="I5" s="54" t="s">
        <v>73</v>
      </c>
      <c r="J5" s="55" t="s">
        <v>74</v>
      </c>
      <c r="K5" s="56"/>
    </row>
    <row r="6" spans="1:14" ht="18" x14ac:dyDescent="0.25">
      <c r="B6" s="65" t="s">
        <v>79</v>
      </c>
      <c r="C6" s="71">
        <v>16.795797420674354</v>
      </c>
      <c r="D6" s="72"/>
      <c r="E6" s="73"/>
      <c r="F6" s="71">
        <v>16.816973958856725</v>
      </c>
      <c r="G6" s="72"/>
      <c r="H6" s="73"/>
      <c r="I6" s="71">
        <v>16.816973958856725</v>
      </c>
      <c r="J6" s="48"/>
      <c r="K6" s="56"/>
    </row>
    <row r="7" spans="1:14" ht="18" x14ac:dyDescent="0.25">
      <c r="B7" s="66" t="s">
        <v>63</v>
      </c>
      <c r="C7" s="71">
        <v>0.68708144219127676</v>
      </c>
      <c r="D7" s="72"/>
      <c r="E7" s="73"/>
      <c r="F7" s="71">
        <v>0.69800861462367436</v>
      </c>
      <c r="G7" s="72"/>
      <c r="H7" s="73"/>
      <c r="I7" s="71">
        <v>0.69800861462367436</v>
      </c>
      <c r="J7" s="68"/>
      <c r="K7" s="69"/>
      <c r="L7" s="70"/>
      <c r="M7" s="70"/>
      <c r="N7" s="70"/>
    </row>
    <row r="8" spans="1:14" ht="18" x14ac:dyDescent="0.25">
      <c r="B8" s="66" t="s">
        <v>64</v>
      </c>
      <c r="C8" s="71">
        <v>1.1811664151112818E-2</v>
      </c>
      <c r="D8" s="72"/>
      <c r="E8" s="73"/>
      <c r="F8" s="71">
        <v>7.1054273576010019E-15</v>
      </c>
      <c r="G8" s="72"/>
      <c r="H8" s="73"/>
      <c r="I8" s="71">
        <v>7.1054273576010019E-15</v>
      </c>
      <c r="J8" s="68"/>
      <c r="K8" s="69"/>
      <c r="L8" s="70"/>
      <c r="M8" s="70"/>
      <c r="N8" s="70"/>
    </row>
    <row r="9" spans="1:14" ht="18" x14ac:dyDescent="0.25">
      <c r="B9" s="66" t="s">
        <v>65</v>
      </c>
      <c r="C9" s="71">
        <v>35.41073852284336</v>
      </c>
      <c r="D9" s="72"/>
      <c r="E9" s="73"/>
      <c r="F9" s="71">
        <v>35.114417731779923</v>
      </c>
      <c r="G9" s="72"/>
      <c r="H9" s="73"/>
      <c r="I9" s="71">
        <v>35.114417731779923</v>
      </c>
      <c r="J9" s="68"/>
      <c r="K9" s="69"/>
      <c r="L9" s="70"/>
      <c r="M9" s="70"/>
      <c r="N9" s="70"/>
    </row>
    <row r="10" spans="1:14" ht="18" x14ac:dyDescent="0.25">
      <c r="B10" s="66" t="s">
        <v>68</v>
      </c>
      <c r="C10" s="71">
        <v>-7.9108662079234344</v>
      </c>
      <c r="D10" s="72"/>
      <c r="E10" s="73"/>
      <c r="F10" s="71">
        <v>-7.9199701714054083</v>
      </c>
      <c r="G10" s="72"/>
      <c r="H10" s="73"/>
      <c r="I10" s="71">
        <v>-7.9199701714054083</v>
      </c>
      <c r="J10" s="68"/>
      <c r="K10" s="69"/>
      <c r="L10" s="70"/>
      <c r="M10" s="70"/>
      <c r="N10" s="70"/>
    </row>
    <row r="11" spans="1:14" ht="18" x14ac:dyDescent="0.25">
      <c r="B11" s="66" t="s">
        <v>69</v>
      </c>
      <c r="C11" s="71">
        <v>51.876814733567322</v>
      </c>
      <c r="D11" s="72"/>
      <c r="E11" s="73"/>
      <c r="F11" s="71">
        <v>52.947622097008207</v>
      </c>
      <c r="G11" s="72"/>
      <c r="H11" s="73"/>
      <c r="I11" s="71">
        <v>52.947622097008207</v>
      </c>
      <c r="J11" s="68"/>
      <c r="K11" s="69"/>
      <c r="L11" s="70"/>
      <c r="M11" s="70"/>
      <c r="N11" s="70"/>
    </row>
    <row r="12" spans="1:14" ht="18" x14ac:dyDescent="0.25">
      <c r="B12" s="66" t="s">
        <v>67</v>
      </c>
      <c r="C12" s="71">
        <v>-0.221625688015993</v>
      </c>
      <c r="D12" s="72"/>
      <c r="E12" s="73"/>
      <c r="F12" s="71">
        <v>0.17473681255975038</v>
      </c>
      <c r="G12" s="72"/>
      <c r="H12" s="73"/>
      <c r="I12" s="71">
        <v>0.17473681255975038</v>
      </c>
      <c r="J12" s="68"/>
      <c r="K12" s="69"/>
      <c r="L12" s="70"/>
      <c r="M12" s="70"/>
      <c r="N12" s="70"/>
    </row>
    <row r="13" spans="1:14" ht="19" thickBot="1" x14ac:dyDescent="0.3">
      <c r="B13" s="67" t="s">
        <v>66</v>
      </c>
      <c r="C13" s="74">
        <v>10.80264701391266</v>
      </c>
      <c r="D13" s="75"/>
      <c r="E13" s="76"/>
      <c r="F13" s="74">
        <v>-2.6145321498916019</v>
      </c>
      <c r="G13" s="75"/>
      <c r="H13" s="76"/>
      <c r="I13" s="74">
        <v>-2.6145321498916019</v>
      </c>
      <c r="J13" s="49"/>
      <c r="K13" s="62"/>
    </row>
  </sheetData>
  <mergeCells count="3">
    <mergeCell ref="F3:K3"/>
    <mergeCell ref="C3:E3"/>
    <mergeCell ref="A1:L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BE25A-326F-C84B-B0BF-A9D7ED5CA060}">
  <sheetPr codeName="Feuil10">
    <tabColor theme="7"/>
  </sheetPr>
  <dimension ref="A1"/>
  <sheetViews>
    <sheetView workbookViewId="0">
      <selection activeCell="M32" sqref="M32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27</vt:i4>
      </vt:variant>
    </vt:vector>
  </HeadingPairs>
  <TitlesOfParts>
    <vt:vector size="37" baseType="lpstr">
      <vt:lpstr>Param</vt:lpstr>
      <vt:lpstr>Listes</vt:lpstr>
      <vt:lpstr>Arbre Stock</vt:lpstr>
      <vt:lpstr>Arbre Option</vt:lpstr>
      <vt:lpstr>Arbre Proba</vt:lpstr>
      <vt:lpstr>Exercice Frontier</vt:lpstr>
      <vt:lpstr>Test Convergence</vt:lpstr>
      <vt:lpstr>Test Vitesse</vt:lpstr>
      <vt:lpstr>Greeks</vt:lpstr>
      <vt:lpstr>Histo</vt:lpstr>
      <vt:lpstr>AffichageOption</vt:lpstr>
      <vt:lpstr>AffichageReach</vt:lpstr>
      <vt:lpstr>AffichageStock</vt:lpstr>
      <vt:lpstr>Alpha</vt:lpstr>
      <vt:lpstr>Call_Put</vt:lpstr>
      <vt:lpstr>date_pricing</vt:lpstr>
      <vt:lpstr>Delta_t</vt:lpstr>
      <vt:lpstr>Dividende</vt:lpstr>
      <vt:lpstr>ExDivDate_Dividende</vt:lpstr>
      <vt:lpstr>Exercice</vt:lpstr>
      <vt:lpstr>Lambda</vt:lpstr>
      <vt:lpstr>Langage</vt:lpstr>
      <vt:lpstr>Maturity</vt:lpstr>
      <vt:lpstr>Methode_Pricing</vt:lpstr>
      <vt:lpstr>N</vt:lpstr>
      <vt:lpstr>Param_TestVitesse</vt:lpstr>
      <vt:lpstr>Prix_BS</vt:lpstr>
      <vt:lpstr>Prix_Tree</vt:lpstr>
      <vt:lpstr>Pruning</vt:lpstr>
      <vt:lpstr>Rho</vt:lpstr>
      <vt:lpstr>SeuilPruning</vt:lpstr>
      <vt:lpstr>Spot</vt:lpstr>
      <vt:lpstr>Strike</vt:lpstr>
      <vt:lpstr>Taux</vt:lpstr>
      <vt:lpstr>Time_BS</vt:lpstr>
      <vt:lpstr>Time_Tree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Lan Phuong Vu</cp:lastModifiedBy>
  <dcterms:created xsi:type="dcterms:W3CDTF">2025-09-20T12:41:44Z</dcterms:created>
  <dcterms:modified xsi:type="dcterms:W3CDTF">2025-10-19T16:18:17Z</dcterms:modified>
</cp:coreProperties>
</file>